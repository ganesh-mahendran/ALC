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MARKET FILES\"/>
    </mc:Choice>
  </mc:AlternateContent>
  <xr:revisionPtr revIDLastSave="0" documentId="8_{A7259FC3-36D9-4F14-A8ED-9F0BDA002F1B}" xr6:coauthVersionLast="46" xr6:coauthVersionMax="46" xr10:uidLastSave="{00000000-0000-0000-0000-000000000000}"/>
  <workbookProtection workbookAlgorithmName="SHA-512" workbookHashValue="GJiSQ6YTBc/m7/GqVXYq4Ckf6pXnRox3k9xGuril6XsswfYYXVA16r6yEBEIvbRc2728Y7f95d8iNBBZkoTeRg==" workbookSaltValue="W2Hpemv8tb2Wlq7y8xFMkQ==" workbookSpinCount="100000" lockStructure="1"/>
  <bookViews>
    <workbookView xWindow="28680" yWindow="-120" windowWidth="29040" windowHeight="158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state="veryHidden" r:id="rId20"/>
    <sheet name="Existing Customers" sheetId="40" state="veryHidden" r:id="rId21"/>
    <sheet name="Existing Customer Variable Exp" sheetId="42" state="veryHidden" r:id="rId22"/>
    <sheet name="Customer Info" sheetId="77" state="veryHidden" r:id="rId23"/>
    <sheet name="Variable Selling" sheetId="30" state="veryHidden" r:id="rId24"/>
    <sheet name="Variable Div Avgs" sheetId="14" state="veryHidden" r:id="rId25"/>
    <sheet name="3zip" sheetId="50" state="veryHidden" r:id="rId26"/>
    <sheet name="4zip" sheetId="47" state="veryHidden" r:id="rId27"/>
    <sheet name="5zip" sheetId="37" state="veryHidden"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5">'3zip'!$A$1:$F$15</definedName>
    <definedName name="ExternalData_1" localSheetId="26">'4zip'!$A$1:$F$42</definedName>
    <definedName name="ExternalData_1" localSheetId="27">'5zip'!$A$1:$F$68</definedName>
    <definedName name="ExternalData_1" localSheetId="22">'Customer Info'!$A$1:$F$1710</definedName>
    <definedName name="ExternalData_1" localSheetId="21">'Existing Customer Variable Exp'!$A$1:$F$2</definedName>
    <definedName name="ExternalData_1" localSheetId="20">'Existing Customers'!$B$1:$AB$2</definedName>
    <definedName name="ExternalData_1" localSheetId="24">'Variable Div Avgs'!$A$1:$M$2</definedName>
    <definedName name="ExternalData_1" localSheetId="23">'Variable Selling'!$A$1:$O$11</definedName>
    <definedName name="ExternalData_2" localSheetId="19">'HOS_Modellable Customers'!$A$1:$B$2</definedName>
    <definedName name="ExternalData_2" localSheetId="18">'Modellable Customers'!$A$1:$B$2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C56747-B41E-409F-9E6B-3F3079FE213F}" name="Connection" type="1" refreshedVersion="7" deleted="1" background="1" saveData="1">
    <dbPr connection="" command=""/>
  </connection>
</connections>
</file>

<file path=xl/sharedStrings.xml><?xml version="1.0" encoding="utf-8"?>
<sst xmlns="http://schemas.openxmlformats.org/spreadsheetml/2006/main" count="13375" uniqueCount="5575">
  <si>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</si>
  <si>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</si>
  <si>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</si>
  <si>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</si>
  <si>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</si>
  <si>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</si>
  <si>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</si>
  <si>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</si>
  <si>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</si>
  <si>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</si>
  <si>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</si>
  <si>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</si>
  <si>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</si>
  <si>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</si>
  <si>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</si>
  <si>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</si>
  <si>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</si>
  <si>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</si>
  <si>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</si>
  <si>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</si>
  <si>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</si>
  <si>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</si>
  <si>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</si>
  <si>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</si>
  <si>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</si>
  <si>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</si>
  <si>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</si>
  <si>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</si>
  <si>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</si>
  <si>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</si>
  <si>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</si>
  <si>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</si>
  <si>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</si>
  <si>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</si>
  <si>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</si>
  <si>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</si>
  <si>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</si>
  <si>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</si>
  <si>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</si>
  <si>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</si>
  <si>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</si>
  <si>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</si>
  <si>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</si>
  <si>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</si>
  <si>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</si>
  <si>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</si>
  <si>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</si>
  <si>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</si>
  <si>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</si>
  <si>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</si>
  <si>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</si>
  <si>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</si>
  <si>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</si>
  <si>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</si>
  <si>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</si>
  <si>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</si>
  <si>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</si>
  <si>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</si>
  <si>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</si>
  <si>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</si>
  <si>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</si>
  <si>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</si>
  <si>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</si>
  <si>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</si>
  <si>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</si>
  <si>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</si>
  <si>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</si>
  <si>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</si>
  <si>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</si>
  <si>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</si>
  <si>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</si>
  <si>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</si>
  <si>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</si>
  <si>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</si>
  <si>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</si>
  <si>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</si>
  <si>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</si>
  <si>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</si>
  <si>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</si>
  <si>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</si>
  <si>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</si>
  <si>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</si>
  <si>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</si>
  <si>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</si>
  <si>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</si>
  <si>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</si>
  <si>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</si>
  <si>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</si>
  <si>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</si>
  <si>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</si>
  <si>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</si>
  <si>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</si>
  <si>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</si>
  <si>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</si>
  <si>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</si>
  <si>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</si>
  <si>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</si>
  <si>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</si>
  <si>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</si>
  <si>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</si>
  <si>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</si>
  <si>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</si>
  <si>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</si>
  <si>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</si>
  <si>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</si>
  <si>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</si>
  <si>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</si>
  <si>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</si>
  <si>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</si>
  <si>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</si>
  <si>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</si>
  <si>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</si>
  <si>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</si>
  <si>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</si>
  <si>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</si>
  <si>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</si>
  <si>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</si>
  <si>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</si>
  <si>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</si>
  <si>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</si>
  <si>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</si>
  <si>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</si>
  <si>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</si>
  <si>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</si>
  <si>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</si>
  <si>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</si>
  <si>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</si>
  <si>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</si>
  <si>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</si>
  <si>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</si>
  <si>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</si>
  <si>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</si>
  <si>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</si>
  <si>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</si>
  <si>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</si>
  <si>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</si>
  <si>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</si>
  <si>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</si>
  <si>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</si>
  <si>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</si>
  <si>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</si>
  <si>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</si>
  <si>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</si>
  <si>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</si>
  <si>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</si>
  <si>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</si>
  <si>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</si>
  <si>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</si>
  <si>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</si>
  <si>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</si>
  <si>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</si>
  <si>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</si>
  <si>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</si>
  <si>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</si>
  <si>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</si>
  <si>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</si>
  <si>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</si>
  <si>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</si>
  <si>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</si>
  <si>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</si>
  <si>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</si>
  <si>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</si>
  <si>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</si>
  <si>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</si>
  <si>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</si>
  <si>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</si>
  <si>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</si>
  <si>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</si>
  <si>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</si>
  <si>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</si>
  <si>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</si>
  <si>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</si>
  <si>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</si>
  <si>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</si>
  <si>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</si>
  <si>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</si>
  <si>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</si>
  <si>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</si>
  <si>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</si>
  <si>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</si>
  <si>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</si>
  <si>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</si>
  <si>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</si>
  <si>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</si>
  <si>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</si>
  <si>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</si>
  <si>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</si>
  <si>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</si>
  <si>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</si>
  <si>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</si>
  <si>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</si>
  <si>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</si>
  <si>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</si>
  <si>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</si>
  <si>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</si>
  <si>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</si>
  <si>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</si>
  <si>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</si>
  <si>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</si>
  <si>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</si>
  <si>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</si>
  <si>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</si>
  <si>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</si>
  <si>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</si>
  <si>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</si>
  <si>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</si>
  <si>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</si>
  <si>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</si>
  <si>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</si>
  <si>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</si>
  <si>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</si>
  <si>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</si>
  <si>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</si>
  <si>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</si>
  <si>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</si>
  <si>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</si>
  <si>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</si>
  <si>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</si>
  <si>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</si>
  <si>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</si>
  <si>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</si>
  <si>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</si>
  <si>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</si>
  <si>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</si>
  <si>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</si>
  <si>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</si>
  <si>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</si>
  <si>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</si>
  <si>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</si>
  <si>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</si>
  <si>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</si>
  <si>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</si>
  <si>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</si>
  <si>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</si>
  <si>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</si>
  <si>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</si>
  <si>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</si>
  <si>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</si>
  <si>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</si>
  <si>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</si>
  <si>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</si>
  <si>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</si>
  <si>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</si>
  <si>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</si>
  <si>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</si>
  <si>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</si>
  <si>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</si>
  <si>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</si>
  <si>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</si>
  <si>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</si>
  <si>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</si>
  <si>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</si>
  <si>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</si>
  <si>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</si>
  <si>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</si>
  <si>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</si>
  <si>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</si>
  <si>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</si>
  <si>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</si>
  <si>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</si>
  <si>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</si>
  <si>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</si>
  <si>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</si>
  <si>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</si>
  <si>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</si>
  <si>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</si>
  <si>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</si>
  <si>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</si>
  <si>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</si>
  <si>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</si>
  <si>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</si>
  <si>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</si>
  <si>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</si>
  <si>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</si>
  <si>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</si>
  <si>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</si>
  <si>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</si>
  <si>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</si>
  <si>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</si>
  <si>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</si>
  <si>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</si>
  <si>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</si>
  <si>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</si>
  <si>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</si>
  <si>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</si>
  <si>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</si>
  <si>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</si>
  <si>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</si>
  <si>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</si>
  <si>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</si>
  <si>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</si>
  <si>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</si>
  <si>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</si>
  <si>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</si>
  <si>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</si>
  <si>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</si>
  <si>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</si>
  <si>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</si>
  <si>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</si>
  <si>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</si>
  <si>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</si>
  <si>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</si>
  <si>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</si>
  <si>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</si>
  <si>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</si>
  <si>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</si>
  <si>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</si>
  <si>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</si>
  <si>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</si>
  <si>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</si>
  <si>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</si>
  <si>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</si>
  <si>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</si>
  <si>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</si>
  <si>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</si>
  <si>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</si>
  <si>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</si>
  <si>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</si>
  <si>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</si>
  <si>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</si>
  <si>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</si>
  <si>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</si>
  <si>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</si>
  <si>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</si>
  <si>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</si>
  <si>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</si>
  <si>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</si>
  <si>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</si>
  <si>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</si>
  <si>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</si>
  <si>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</si>
  <si>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</si>
  <si>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</si>
  <si>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</si>
  <si>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</si>
  <si>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</si>
  <si>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</si>
  <si>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</si>
  <si>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</si>
  <si>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</si>
  <si>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</si>
  <si>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</si>
  <si>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</si>
  <si>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</si>
  <si>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</si>
  <si>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</si>
  <si>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</si>
  <si>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</si>
  <si>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</si>
  <si>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</si>
  <si>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</si>
  <si>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</si>
  <si>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</si>
  <si>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</si>
  <si>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</si>
  <si>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</si>
  <si>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</si>
  <si>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</si>
  <si>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</si>
  <si>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</si>
  <si>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</si>
  <si>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</si>
  <si>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</si>
  <si>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</si>
  <si>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</si>
  <si>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</si>
  <si>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</si>
  <si>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</si>
  <si>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</si>
  <si>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</si>
  <si>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</si>
  <si>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</si>
  <si>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</si>
  <si>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</si>
  <si>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</si>
  <si>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</si>
  <si>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</si>
  <si>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</si>
  <si>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</si>
  <si>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</si>
  <si>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</si>
  <si>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</si>
  <si>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</si>
  <si>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</si>
  <si>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</si>
  <si>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</si>
  <si>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</si>
  <si>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</si>
  <si>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</si>
  <si>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</si>
  <si>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</si>
  <si>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</si>
  <si>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</si>
  <si>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</si>
  <si>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</si>
  <si>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</si>
  <si>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</si>
  <si>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</si>
  <si>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</si>
  <si>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</si>
  <si>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</si>
  <si>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</si>
  <si>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</si>
  <si>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</si>
  <si>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</si>
  <si>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</si>
  <si>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</si>
  <si>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</si>
  <si>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</si>
  <si>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</si>
  <si>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</si>
  <si>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</si>
  <si>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</si>
  <si>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</si>
  <si>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</si>
  <si>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</si>
  <si>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</si>
  <si>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</si>
  <si>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</si>
  <si>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</si>
  <si>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</si>
  <si>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</si>
  <si>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</si>
  <si>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</si>
  <si>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</si>
  <si>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</si>
  <si>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</si>
  <si>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</si>
  <si>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</si>
  <si>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</si>
  <si>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</si>
  <si>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</si>
  <si>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</si>
  <si>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</si>
  <si>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</si>
  <si>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</si>
  <si>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</si>
  <si>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</si>
  <si>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</si>
  <si>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</si>
  <si>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</si>
  <si>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</si>
  <si>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</si>
  <si>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</si>
  <si>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</si>
  <si>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</si>
  <si>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</si>
  <si>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</si>
  <si>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</si>
  <si>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</si>
  <si>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</si>
  <si>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</si>
  <si>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</si>
  <si>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</si>
  <si>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</si>
  <si>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</si>
  <si>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</si>
  <si>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</si>
  <si>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</si>
  <si>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</si>
  <si>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</si>
  <si>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</si>
  <si>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</si>
  <si>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</si>
  <si>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</si>
  <si>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</si>
  <si>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</si>
  <si>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</si>
  <si>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</si>
  <si>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</si>
  <si>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</si>
  <si>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</si>
  <si>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</si>
  <si>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</si>
  <si>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</si>
  <si>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</si>
  <si>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</si>
  <si>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</si>
  <si>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</si>
  <si>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</si>
  <si>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</si>
  <si>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</si>
  <si>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</si>
  <si>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</si>
  <si>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</si>
  <si>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</si>
  <si>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</si>
  <si>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</si>
  <si>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</si>
  <si>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</si>
  <si>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</si>
  <si>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</si>
  <si>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</si>
  <si>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</si>
  <si>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</si>
  <si>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</si>
  <si>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</si>
  <si>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</si>
  <si>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</si>
  <si>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</si>
  <si>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</si>
  <si>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</si>
  <si>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</si>
  <si>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</si>
  <si>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</si>
  <si>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</si>
  <si>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</si>
  <si>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</si>
  <si>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</si>
  <si>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</si>
  <si>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</si>
  <si>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</si>
  <si>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</si>
  <si>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</si>
  <si>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</si>
  <si>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</si>
  <si>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</si>
  <si>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</si>
  <si>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</si>
  <si>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</si>
  <si>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</si>
  <si>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</si>
  <si>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</si>
  <si>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</si>
  <si>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</si>
  <si>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</si>
  <si>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</si>
  <si>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</si>
  <si>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</si>
  <si>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</si>
  <si>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</si>
  <si>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</si>
  <si>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</si>
  <si>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</si>
  <si>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</si>
  <si>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</si>
  <si>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</si>
  <si>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</si>
  <si>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</si>
  <si>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</si>
  <si>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</si>
  <si>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</si>
  <si>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</si>
  <si>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</si>
  <si>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</si>
  <si>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</si>
  <si>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</si>
  <si>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</si>
  <si>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</si>
  <si>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</si>
  <si>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</si>
  <si>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</si>
  <si>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</si>
  <si>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</si>
  <si>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</si>
  <si>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</si>
  <si>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</si>
  <si>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</si>
  <si>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</si>
  <si>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</si>
  <si>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</si>
  <si>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</si>
  <si>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</si>
  <si>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</si>
  <si>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</si>
  <si>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</si>
  <si>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</si>
  <si>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</si>
  <si>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</si>
  <si>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</si>
  <si>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</si>
  <si>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</si>
  <si>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</si>
  <si>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</si>
  <si>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</si>
  <si>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</si>
  <si>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</si>
  <si>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</si>
  <si>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</si>
  <si>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</si>
  <si>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</si>
  <si>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</si>
  <si>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</si>
  <si>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</si>
  <si>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</si>
  <si>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</si>
  <si>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</si>
  <si>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</si>
  <si>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</si>
  <si>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</si>
  <si>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</si>
  <si>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</si>
  <si>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</si>
  <si>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</si>
  <si>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</si>
  <si>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</si>
  <si>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</si>
  <si>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</si>
  <si>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</si>
  <si>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</si>
  <si>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</si>
  <si>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</si>
  <si>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</si>
  <si>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</si>
  <si>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</si>
  <si>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</si>
  <si>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</si>
  <si>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</si>
  <si>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</si>
  <si>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</si>
  <si>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</si>
  <si>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</si>
  <si>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</si>
  <si>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</si>
  <si>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</si>
  <si>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</si>
  <si>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</si>
  <si>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</si>
  <si>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</si>
  <si>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</si>
  <si>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</si>
  <si>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</si>
  <si>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</si>
  <si>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</si>
  <si>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</si>
  <si>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</si>
  <si>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</si>
  <si>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</si>
  <si>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</si>
  <si>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</si>
  <si>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</si>
  <si>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</si>
  <si>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</si>
  <si>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</si>
  <si>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</si>
  <si>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</si>
  <si>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</si>
  <si>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</si>
  <si>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</si>
  <si>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</si>
  <si>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</si>
  <si>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</si>
  <si>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</si>
  <si>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</si>
  <si>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</si>
  <si>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</si>
  <si>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</si>
  <si>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</si>
  <si>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</si>
  <si>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</si>
  <si>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</si>
  <si>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</si>
  <si>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</si>
  <si>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</si>
  <si>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</si>
  <si>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</si>
  <si>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</si>
  <si>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</si>
  <si>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</si>
  <si>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</si>
  <si>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</si>
  <si>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</si>
  <si>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</si>
  <si>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</si>
  <si>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</si>
  <si>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</si>
  <si>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</si>
  <si>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</si>
  <si>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</si>
  <si>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</si>
  <si>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</si>
  <si>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</si>
  <si>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</si>
  <si>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</si>
  <si>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</si>
  <si>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</si>
  <si>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</si>
  <si>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</si>
  <si>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</si>
  <si>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</si>
  <si>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</si>
  <si>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</si>
  <si>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</si>
  <si>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</si>
  <si>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</si>
  <si>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</si>
  <si>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</si>
  <si>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</si>
  <si>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</si>
  <si>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</si>
  <si>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</si>
  <si>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</si>
  <si>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</si>
  <si>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</si>
  <si>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</si>
  <si>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</si>
  <si>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</si>
  <si>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</si>
  <si>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</si>
  <si>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</si>
  <si>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</si>
  <si>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</si>
  <si>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</si>
  <si>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</si>
  <si>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</si>
  <si>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</si>
  <si>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</si>
  <si>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</si>
  <si>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</si>
  <si>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</si>
  <si>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</si>
  <si>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</si>
  <si>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</si>
  <si>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</si>
  <si>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</si>
  <si>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</si>
  <si>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</si>
  <si>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</si>
  <si>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</si>
  <si>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</si>
  <si>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</si>
  <si>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</si>
  <si>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</si>
  <si>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</si>
  <si>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</si>
  <si>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</si>
  <si>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</si>
  <si>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</si>
  <si>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</si>
  <si>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</si>
  <si>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</si>
  <si>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</si>
  <si>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</si>
  <si>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</si>
  <si>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</si>
  <si>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</si>
  <si>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</si>
  <si>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</si>
  <si>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</si>
  <si>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</si>
  <si>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</si>
  <si>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</si>
  <si>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</si>
  <si>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</si>
  <si>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</si>
  <si>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</si>
  <si>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</si>
  <si>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</si>
  <si>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</si>
  <si>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</si>
  <si>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</si>
  <si>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</si>
  <si>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</si>
  <si>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</si>
  <si>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</si>
  <si>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</si>
  <si>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</si>
  <si>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</si>
  <si>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</si>
  <si>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</si>
  <si>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</si>
  <si>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</si>
  <si>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</si>
  <si>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</si>
  <si>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</si>
  <si>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</si>
  <si>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</si>
  <si>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</si>
  <si>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</si>
  <si>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</si>
  <si>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</si>
  <si>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</si>
  <si>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</si>
  <si>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</si>
  <si>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</si>
  <si>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</si>
  <si>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</si>
  <si>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</si>
  <si>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</si>
  <si>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</si>
  <si>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</si>
  <si>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</si>
  <si>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</si>
  <si>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</si>
  <si>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</si>
  <si>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</si>
  <si>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</si>
  <si>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</si>
  <si>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</si>
  <si>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</si>
  <si>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</si>
  <si>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</si>
  <si>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</si>
  <si>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</si>
  <si>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</si>
  <si>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</si>
  <si>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</si>
  <si>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</si>
  <si>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</si>
  <si>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</si>
  <si>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</si>
  <si>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</si>
  <si>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</si>
  <si>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</si>
  <si>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</si>
  <si>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</si>
  <si>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</si>
  <si>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</si>
  <si>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</si>
  <si>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</si>
  <si>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</si>
  <si>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</si>
  <si>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</si>
  <si>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</si>
  <si>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</si>
  <si>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</si>
  <si>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</si>
  <si>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</si>
  <si>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</si>
  <si>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</si>
  <si>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</si>
  <si>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</si>
  <si>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</si>
  <si>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</si>
  <si>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</si>
  <si>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</si>
  <si>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</si>
  <si>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</si>
  <si>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</si>
  <si>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</si>
  <si>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</si>
  <si>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</si>
  <si>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</si>
  <si>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</si>
  <si>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</si>
  <si>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</si>
  <si>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</si>
  <si>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</si>
  <si>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</si>
  <si>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</si>
  <si>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</si>
  <si>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</si>
  <si>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</si>
  <si>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</si>
  <si>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</si>
  <si>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</si>
  <si>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</si>
  <si>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</si>
  <si>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</si>
  <si>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</si>
  <si>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</si>
  <si>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</si>
  <si>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</si>
  <si>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</si>
  <si>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</si>
  <si>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</si>
  <si>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</si>
  <si>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</si>
  <si>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</si>
  <si>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</si>
  <si>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</si>
  <si>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</si>
  <si>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</si>
  <si>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</si>
  <si>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</si>
  <si>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</si>
  <si>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</si>
  <si>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</si>
  <si>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</si>
  <si>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</si>
  <si>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</si>
  <si>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</si>
  <si>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</si>
  <si>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</si>
  <si>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</si>
  <si>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</si>
  <si>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</si>
  <si>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</si>
  <si>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</si>
  <si>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</si>
  <si>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</si>
  <si>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</si>
  <si>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</si>
  <si>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</si>
  <si>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</si>
  <si>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</si>
  <si>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</si>
  <si>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</si>
  <si>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</si>
  <si>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</si>
  <si>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</si>
  <si>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</si>
  <si>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</si>
  <si>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</si>
  <si>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</si>
  <si>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</si>
  <si>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</si>
  <si>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</si>
  <si>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</si>
  <si>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</si>
  <si>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</si>
  <si>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</si>
  <si>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</si>
  <si>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</si>
  <si>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</si>
  <si>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</si>
  <si>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</si>
  <si>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</si>
  <si>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</si>
  <si>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</si>
  <si>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</si>
  <si>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</si>
  <si>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</si>
  <si>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</si>
  <si>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</si>
  <si>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</si>
  <si>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</si>
  <si>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</si>
  <si>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</si>
  <si>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</si>
  <si>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</si>
  <si>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</si>
  <si>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</si>
  <si>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</si>
  <si>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</si>
  <si>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</si>
  <si>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</si>
  <si>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</si>
  <si>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</si>
  <si>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</si>
  <si>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</si>
  <si>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</si>
  <si>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</si>
  <si>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</si>
  <si>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</si>
  <si>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</si>
  <si>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</si>
  <si>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</si>
  <si>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</si>
  <si>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</si>
  <si>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</si>
  <si>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</si>
  <si>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</si>
  <si>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</si>
  <si>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</si>
  <si>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</si>
  <si>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</si>
  <si>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</si>
  <si>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</si>
  <si>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</si>
  <si>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</si>
  <si>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</si>
  <si>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</si>
  <si>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</si>
  <si>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</si>
  <si>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</si>
  <si>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</si>
  <si>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</si>
  <si>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</si>
  <si>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</si>
  <si>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</si>
  <si>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</si>
  <si>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</si>
  <si>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</si>
  <si>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</si>
  <si>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</si>
  <si>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</si>
  <si>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</si>
  <si>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</si>
  <si>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</si>
  <si>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</si>
  <si>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</si>
  <si>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</si>
  <si>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</si>
  <si>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</si>
  <si>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</si>
  <si>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</si>
  <si>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</si>
  <si>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</si>
  <si>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</si>
  <si>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</si>
  <si>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</si>
  <si>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</si>
  <si>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</si>
  <si>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</si>
  <si>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</si>
  <si>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</si>
  <si>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</si>
  <si>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</si>
  <si>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</si>
  <si>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</si>
  <si>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</si>
  <si>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</si>
  <si>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</si>
  <si>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</si>
  <si>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</si>
  <si>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</si>
  <si>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</si>
  <si>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</si>
  <si>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</si>
  <si>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</si>
  <si>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</si>
  <si>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</si>
  <si>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</si>
  <si>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</si>
  <si>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</si>
  <si>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</si>
  <si>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</si>
  <si>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</si>
  <si>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</si>
  <si>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</si>
  <si>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</si>
  <si>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</si>
  <si>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</si>
  <si>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</si>
  <si>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</si>
  <si>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</si>
  <si>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</si>
  <si>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</si>
  <si>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</si>
  <si>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</si>
  <si>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</si>
  <si>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</si>
  <si>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</si>
  <si>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</si>
  <si>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</si>
  <si>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</si>
  <si>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</si>
  <si>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</si>
  <si>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</si>
  <si>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</si>
  <si>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</si>
  <si>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</si>
  <si>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</si>
  <si>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</si>
  <si>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</si>
  <si>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</si>
  <si>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</si>
  <si>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</si>
  <si>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</si>
  <si>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</si>
  <si>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</si>
  <si>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</si>
  <si>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</si>
  <si>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</si>
  <si>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</si>
  <si>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</si>
  <si>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</si>
  <si>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</si>
  <si>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</si>
  <si>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</si>
  <si>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</si>
  <si>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</si>
  <si>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</si>
  <si>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</si>
  <si>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</si>
  <si>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</si>
  <si>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</si>
  <si>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</si>
  <si>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</si>
  <si>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</si>
  <si>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</si>
  <si>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</si>
  <si>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</si>
  <si>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</si>
  <si>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</si>
  <si>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</si>
  <si>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</si>
  <si>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</si>
  <si>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</si>
  <si>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</si>
  <si>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</si>
  <si>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</si>
  <si>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</si>
  <si>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</si>
  <si>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</si>
  <si>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</si>
  <si>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</si>
  <si>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</si>
  <si>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</si>
  <si>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</si>
  <si>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</si>
  <si>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</si>
  <si>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</si>
  <si>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</si>
  <si>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</si>
  <si>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</si>
  <si>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</si>
  <si>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</si>
  <si>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</si>
  <si>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</si>
  <si>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</si>
  <si>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</si>
  <si>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</si>
  <si>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</si>
  <si>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</si>
  <si>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</si>
  <si>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</si>
  <si>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</si>
  <si>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</si>
  <si>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</si>
  <si>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</si>
  <si>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</si>
  <si>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</si>
  <si>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</si>
  <si>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</si>
  <si>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</si>
  <si>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</si>
  <si>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</si>
  <si>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</si>
  <si>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</si>
  <si>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</si>
  <si>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</si>
  <si>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</si>
  <si>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</si>
  <si>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</si>
  <si>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</si>
  <si>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</si>
  <si>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</si>
  <si>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</si>
  <si>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</si>
  <si>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</si>
  <si>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</si>
  <si>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</si>
  <si>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</si>
  <si>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</si>
  <si>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</si>
  <si>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</si>
  <si>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</si>
  <si>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</si>
  <si>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</si>
  <si>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</si>
  <si>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</si>
  <si>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</si>
  <si>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</si>
  <si>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</si>
  <si>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</si>
  <si>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</si>
  <si>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</si>
  <si>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</si>
  <si>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</si>
  <si>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</si>
  <si>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</si>
  <si>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</si>
  <si>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</si>
  <si>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</si>
  <si>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</si>
  <si>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</si>
  <si>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</si>
  <si>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</si>
  <si>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</si>
  <si>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</si>
  <si>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</si>
  <si>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</si>
  <si>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</si>
  <si>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</si>
  <si>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</si>
  <si>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</si>
  <si>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</si>
  <si>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</si>
  <si>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</si>
  <si>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</si>
  <si>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</si>
  <si>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</si>
  <si>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</si>
  <si>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</si>
  <si>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</si>
  <si>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</si>
  <si>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</si>
  <si>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</si>
  <si>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</si>
  <si>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</si>
  <si>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</si>
  <si>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</si>
  <si>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</si>
  <si>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</si>
  <si>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</si>
  <si>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</si>
  <si>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</si>
  <si>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</si>
  <si>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</si>
  <si>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</si>
  <si>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</si>
  <si>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</si>
  <si>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</si>
  <si>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</si>
  <si>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</si>
  <si>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</si>
  <si>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</si>
  <si>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</si>
  <si>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</si>
  <si>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</si>
  <si>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</si>
  <si>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</si>
  <si>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</si>
  <si>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</si>
  <si>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</si>
  <si>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</si>
  <si>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</si>
  <si>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</si>
  <si>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</si>
  <si>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</si>
  <si>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</si>
  <si>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</si>
  <si>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</si>
  <si>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</si>
  <si>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</si>
  <si>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</si>
  <si>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</si>
  <si>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</si>
  <si>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</si>
  <si>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</si>
  <si>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</si>
  <si>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</si>
  <si>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</si>
  <si>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</si>
  <si>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</si>
  <si>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</si>
  <si>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</si>
  <si>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</si>
  <si>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</si>
  <si>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</si>
  <si>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</si>
  <si>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</si>
  <si>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</si>
  <si>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</si>
  <si>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</si>
  <si>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</si>
  <si>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</si>
  <si>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</si>
  <si>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</si>
  <si>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</si>
  <si>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</si>
  <si>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</si>
  <si>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</si>
  <si>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</si>
  <si>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</si>
  <si>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</si>
  <si>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</si>
  <si>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</si>
  <si>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</si>
  <si>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</si>
  <si>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</si>
  <si>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</si>
  <si>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</si>
  <si>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</si>
  <si>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</si>
  <si>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</si>
  <si>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</si>
  <si>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</si>
  <si>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</si>
  <si>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</si>
  <si>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</si>
  <si>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</si>
  <si>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</si>
  <si>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</si>
  <si>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</si>
  <si>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</si>
  <si>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</si>
  <si>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</si>
  <si>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</si>
  <si>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</si>
  <si>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</si>
  <si>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</si>
  <si>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</si>
  <si>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</si>
  <si>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</si>
  <si>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</si>
  <si>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</si>
  <si>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</si>
  <si>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</si>
  <si>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</si>
  <si>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</si>
  <si>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</si>
  <si>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</si>
  <si>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</si>
  <si>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</si>
  <si>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</si>
  <si>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</si>
  <si>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</si>
  <si>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</si>
  <si>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</si>
  <si>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</si>
  <si>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</si>
  <si>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</si>
  <si>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</si>
  <si>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</si>
  <si>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</si>
  <si>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</si>
  <si>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</si>
  <si>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</si>
  <si>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</si>
  <si>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</si>
  <si>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</si>
  <si>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</si>
  <si>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</si>
  <si>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</si>
  <si>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</si>
  <si>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</si>
  <si>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</si>
  <si>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</si>
  <si>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</si>
  <si>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</si>
  <si>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</si>
  <si>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</si>
  <si>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</si>
  <si>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</si>
  <si>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</si>
  <si>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</si>
  <si>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</si>
  <si>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</si>
  <si>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</si>
  <si>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</si>
  <si>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</si>
  <si>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</si>
  <si>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</si>
  <si>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</si>
  <si>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</si>
  <si>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</si>
  <si>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</si>
  <si>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</si>
  <si>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</si>
  <si>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</si>
  <si>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</si>
  <si>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</si>
  <si>
    <t>SIOUX FALLSREGIONAL CONCEPTSNC</t>
  </si>
  <si>
    <t>C</t>
  </si>
  <si>
    <t>SIOUX FALLSREGIONAL CONCEPTSLN</t>
  </si>
  <si>
    <t>SIOUX FALLSEDUCATIONLN</t>
  </si>
  <si>
    <t>SIOUX FALLSHEALTHCARELN</t>
  </si>
  <si>
    <t>SIOUX FALLSOTHERLN</t>
  </si>
  <si>
    <t>SIOUX FALLSNATIONAL CHAINSLN</t>
  </si>
  <si>
    <t>SIOUX FALLSINDEPENDENT RESTAURATEURSLN</t>
  </si>
  <si>
    <t>SIOUX FALLSEDUCATIONLC</t>
  </si>
  <si>
    <t>SIOUX FALLSRETAILLN</t>
  </si>
  <si>
    <t>SIOUX FALLSHOSPITALITYLN</t>
  </si>
  <si>
    <t>3S56277</t>
  </si>
  <si>
    <t>56277</t>
  </si>
  <si>
    <t>3S57026</t>
  </si>
  <si>
    <t>57026</t>
  </si>
  <si>
    <t>3S57107</t>
  </si>
  <si>
    <t>57107</t>
  </si>
  <si>
    <t>3S56175</t>
  </si>
  <si>
    <t>56175</t>
  </si>
  <si>
    <t>3S56283</t>
  </si>
  <si>
    <t>56283</t>
  </si>
  <si>
    <t>3S51301</t>
  </si>
  <si>
    <t>51301</t>
  </si>
  <si>
    <t>3S55342</t>
  </si>
  <si>
    <t>55342</t>
  </si>
  <si>
    <t>3S57049</t>
  </si>
  <si>
    <t>57049</t>
  </si>
  <si>
    <t>3S57220</t>
  </si>
  <si>
    <t>57220</t>
  </si>
  <si>
    <t>3S51351</t>
  </si>
  <si>
    <t>51351</t>
  </si>
  <si>
    <t>3S56187</t>
  </si>
  <si>
    <t>56187</t>
  </si>
  <si>
    <t>3S57071</t>
  </si>
  <si>
    <t>57071</t>
  </si>
  <si>
    <t>3S51104</t>
  </si>
  <si>
    <t>51104</t>
  </si>
  <si>
    <t>3S57046</t>
  </si>
  <si>
    <t>57046</t>
  </si>
  <si>
    <t>3S56152</t>
  </si>
  <si>
    <t>56152</t>
  </si>
  <si>
    <t>3S57325</t>
  </si>
  <si>
    <t>57325</t>
  </si>
  <si>
    <t>3S51450</t>
  </si>
  <si>
    <t>51450</t>
  </si>
  <si>
    <t>3S56258</t>
  </si>
  <si>
    <t>56258</t>
  </si>
  <si>
    <t>3S56159</t>
  </si>
  <si>
    <t>56159</t>
  </si>
  <si>
    <t>3S57106</t>
  </si>
  <si>
    <t>57106</t>
  </si>
  <si>
    <t>3S57028</t>
  </si>
  <si>
    <t>57028</t>
  </si>
  <si>
    <t>3S56178</t>
  </si>
  <si>
    <t>56178</t>
  </si>
  <si>
    <t>3S56255</t>
  </si>
  <si>
    <t>56255</t>
  </si>
  <si>
    <t>3S57104</t>
  </si>
  <si>
    <t>57104</t>
  </si>
  <si>
    <t>3S57022</t>
  </si>
  <si>
    <t>57022</t>
  </si>
  <si>
    <t>3S57385</t>
  </si>
  <si>
    <t>57385</t>
  </si>
  <si>
    <t>3S57013</t>
  </si>
  <si>
    <t>57013</t>
  </si>
  <si>
    <t>3S56123</t>
  </si>
  <si>
    <t>56123</t>
  </si>
  <si>
    <t>3S56085</t>
  </si>
  <si>
    <t>56085</t>
  </si>
  <si>
    <t>3S57110</t>
  </si>
  <si>
    <t>57110</t>
  </si>
  <si>
    <t>3S57313</t>
  </si>
  <si>
    <t>57313</t>
  </si>
  <si>
    <t>3S51054</t>
  </si>
  <si>
    <t>51054</t>
  </si>
  <si>
    <t>3S56280</t>
  </si>
  <si>
    <t>56280</t>
  </si>
  <si>
    <t>3S57052</t>
  </si>
  <si>
    <t>57052</t>
  </si>
  <si>
    <t>3S57002</t>
  </si>
  <si>
    <t>57002</t>
  </si>
  <si>
    <t>3S57069</t>
  </si>
  <si>
    <t>57069</t>
  </si>
  <si>
    <t>3S57355</t>
  </si>
  <si>
    <t>57355</t>
  </si>
  <si>
    <t>3S56201</t>
  </si>
  <si>
    <t>56201</t>
  </si>
  <si>
    <t>3S57231</t>
  </si>
  <si>
    <t>57231</t>
  </si>
  <si>
    <t>3S57311</t>
  </si>
  <si>
    <t>57311</t>
  </si>
  <si>
    <t>3S57042</t>
  </si>
  <si>
    <t>57042</t>
  </si>
  <si>
    <t>3S57078</t>
  </si>
  <si>
    <t>57078</t>
  </si>
  <si>
    <t>3S51105</t>
  </si>
  <si>
    <t>51105</t>
  </si>
  <si>
    <t>3S55314</t>
  </si>
  <si>
    <t>55314</t>
  </si>
  <si>
    <t>3S56214</t>
  </si>
  <si>
    <t>56214</t>
  </si>
  <si>
    <t>3S51240</t>
  </si>
  <si>
    <t>51240</t>
  </si>
  <si>
    <t>3S57006</t>
  </si>
  <si>
    <t>57006</t>
  </si>
  <si>
    <t>3S57362</t>
  </si>
  <si>
    <t>57362</t>
  </si>
  <si>
    <t>3S57315</t>
  </si>
  <si>
    <t>57315</t>
  </si>
  <si>
    <t>3S56229</t>
  </si>
  <si>
    <t>56229</t>
  </si>
  <si>
    <t>3S51247</t>
  </si>
  <si>
    <t>51247</t>
  </si>
  <si>
    <t>3S51445</t>
  </si>
  <si>
    <t>51445</t>
  </si>
  <si>
    <t>3S51012</t>
  </si>
  <si>
    <t>51012</t>
  </si>
  <si>
    <t>3S57001</t>
  </si>
  <si>
    <t>57001</t>
  </si>
  <si>
    <t>3S57103</t>
  </si>
  <si>
    <t>57103</t>
  </si>
  <si>
    <t>3S57032</t>
  </si>
  <si>
    <t>57032</t>
  </si>
  <si>
    <t>3S57105</t>
  </si>
  <si>
    <t>57105</t>
  </si>
  <si>
    <t>3S56172</t>
  </si>
  <si>
    <t>56172</t>
  </si>
  <si>
    <t>3S56157</t>
  </si>
  <si>
    <t>56157</t>
  </si>
  <si>
    <t>3S57059</t>
  </si>
  <si>
    <t>57059</t>
  </si>
  <si>
    <t>3S56256</t>
  </si>
  <si>
    <t>56256</t>
  </si>
  <si>
    <t>3S56222</t>
  </si>
  <si>
    <t>56222</t>
  </si>
  <si>
    <t>3S57108</t>
  </si>
  <si>
    <t>57108</t>
  </si>
  <si>
    <t>3S56156</t>
  </si>
  <si>
    <t>56156</t>
  </si>
  <si>
    <t>3S51546</t>
  </si>
  <si>
    <t>51546</t>
  </si>
  <si>
    <t>3S51557</t>
  </si>
  <si>
    <t>51557</t>
  </si>
  <si>
    <t>3S57301</t>
  </si>
  <si>
    <t>57301</t>
  </si>
  <si>
    <t>3S5617</t>
  </si>
  <si>
    <t>5617</t>
  </si>
  <si>
    <t>3S5738</t>
  </si>
  <si>
    <t>5738</t>
  </si>
  <si>
    <t>3S5722</t>
  </si>
  <si>
    <t>5722</t>
  </si>
  <si>
    <t>3S5704</t>
  </si>
  <si>
    <t>5704</t>
  </si>
  <si>
    <t>3S5736</t>
  </si>
  <si>
    <t>5736</t>
  </si>
  <si>
    <t>3S5732</t>
  </si>
  <si>
    <t>5732</t>
  </si>
  <si>
    <t>3S5700</t>
  </si>
  <si>
    <t>5700</t>
  </si>
  <si>
    <t>3S5703</t>
  </si>
  <si>
    <t>5703</t>
  </si>
  <si>
    <t>3S5702</t>
  </si>
  <si>
    <t>5702</t>
  </si>
  <si>
    <t>3S5627</t>
  </si>
  <si>
    <t>5627</t>
  </si>
  <si>
    <t>3S5711</t>
  </si>
  <si>
    <t>5711</t>
  </si>
  <si>
    <t>3S5101</t>
  </si>
  <si>
    <t>5101</t>
  </si>
  <si>
    <t>3S5105</t>
  </si>
  <si>
    <t>5105</t>
  </si>
  <si>
    <t>3S5608</t>
  </si>
  <si>
    <t>5608</t>
  </si>
  <si>
    <t>3S5531</t>
  </si>
  <si>
    <t>5531</t>
  </si>
  <si>
    <t>3S5701</t>
  </si>
  <si>
    <t>5701</t>
  </si>
  <si>
    <t>3S5705</t>
  </si>
  <si>
    <t>5705</t>
  </si>
  <si>
    <t>3S5124</t>
  </si>
  <si>
    <t>5124</t>
  </si>
  <si>
    <t>3S5155</t>
  </si>
  <si>
    <t>5155</t>
  </si>
  <si>
    <t>3S5706</t>
  </si>
  <si>
    <t>5706</t>
  </si>
  <si>
    <t>3S5144</t>
  </si>
  <si>
    <t>5144</t>
  </si>
  <si>
    <t>3S5618</t>
  </si>
  <si>
    <t>5618</t>
  </si>
  <si>
    <t>3S5154</t>
  </si>
  <si>
    <t>5154</t>
  </si>
  <si>
    <t>3S5735</t>
  </si>
  <si>
    <t>5735</t>
  </si>
  <si>
    <t>3S5110</t>
  </si>
  <si>
    <t>5110</t>
  </si>
  <si>
    <t>3S5628</t>
  </si>
  <si>
    <t>5628</t>
  </si>
  <si>
    <t>3S5145</t>
  </si>
  <si>
    <t>5145</t>
  </si>
  <si>
    <t>3S5622</t>
  </si>
  <si>
    <t>5622</t>
  </si>
  <si>
    <t>3S5615</t>
  </si>
  <si>
    <t>5615</t>
  </si>
  <si>
    <t>3S5612</t>
  </si>
  <si>
    <t>5612</t>
  </si>
  <si>
    <t>3S5710</t>
  </si>
  <si>
    <t>5710</t>
  </si>
  <si>
    <t>3S5625</t>
  </si>
  <si>
    <t>5625</t>
  </si>
  <si>
    <t>3S5723</t>
  </si>
  <si>
    <t>5723</t>
  </si>
  <si>
    <t>3S5135</t>
  </si>
  <si>
    <t>5135</t>
  </si>
  <si>
    <t>3S5731</t>
  </si>
  <si>
    <t>5731</t>
  </si>
  <si>
    <t>3S5621</t>
  </si>
  <si>
    <t>5621</t>
  </si>
  <si>
    <t>3S5130</t>
  </si>
  <si>
    <t>5130</t>
  </si>
  <si>
    <t>3S5730</t>
  </si>
  <si>
    <t>5730</t>
  </si>
  <si>
    <t>3S5534</t>
  </si>
  <si>
    <t>5534</t>
  </si>
  <si>
    <t>3S5707</t>
  </si>
  <si>
    <t>5707</t>
  </si>
  <si>
    <t>3S5620</t>
  </si>
  <si>
    <t>5620</t>
  </si>
  <si>
    <t>3S512</t>
  </si>
  <si>
    <t>512</t>
  </si>
  <si>
    <t>3S560</t>
  </si>
  <si>
    <t>560</t>
  </si>
  <si>
    <t>3S570</t>
  </si>
  <si>
    <t>570</t>
  </si>
  <si>
    <t>3S571</t>
  </si>
  <si>
    <t>571</t>
  </si>
  <si>
    <t>3S515</t>
  </si>
  <si>
    <t>515</t>
  </si>
  <si>
    <t>3S572</t>
  </si>
  <si>
    <t>572</t>
  </si>
  <si>
    <t>3S573</t>
  </si>
  <si>
    <t>573</t>
  </si>
  <si>
    <t>3S514</t>
  </si>
  <si>
    <t>514</t>
  </si>
  <si>
    <t>3S513</t>
  </si>
  <si>
    <t>513</t>
  </si>
  <si>
    <t>3S553</t>
  </si>
  <si>
    <t>553</t>
  </si>
  <si>
    <t>3S510</t>
  </si>
  <si>
    <t>510</t>
  </si>
  <si>
    <t>3S561</t>
  </si>
  <si>
    <t>561</t>
  </si>
  <si>
    <t>3S562</t>
  </si>
  <si>
    <t>562</t>
  </si>
  <si>
    <t>3S511</t>
  </si>
  <si>
    <t>511</t>
  </si>
  <si>
    <t>GEORGE'S FINE STEAKS &amp; SP</t>
  </si>
  <si>
    <t>301 N MINNESOTA ST</t>
  </si>
  <si>
    <t>NEW ULM</t>
  </si>
  <si>
    <t>MN</t>
  </si>
  <si>
    <t>56073</t>
  </si>
  <si>
    <t>STALEY'S FOOD SERVICE-I</t>
  </si>
  <si>
    <t>42 MAIN ST</t>
  </si>
  <si>
    <t>CHARTER OAK</t>
  </si>
  <si>
    <t>IA</t>
  </si>
  <si>
    <t>51439</t>
  </si>
  <si>
    <t>99-GATEWAY-WEST</t>
  </si>
  <si>
    <t>1 WELCOME W PLAZA</t>
  </si>
  <si>
    <t>CHAMBERLAIN</t>
  </si>
  <si>
    <t>SD</t>
  </si>
  <si>
    <t>ZORT'S PRIME TIME II</t>
  </si>
  <si>
    <t>105 S DERBY LANE</t>
  </si>
  <si>
    <t>NORTH SIOUX CITY</t>
  </si>
  <si>
    <t>FATBOYS BAR</t>
  </si>
  <si>
    <t>111 N WIND ST</t>
  </si>
  <si>
    <t>FLANDREAU</t>
  </si>
  <si>
    <t>LEGION BASEBALL</t>
  </si>
  <si>
    <t>315 WESTERN</t>
  </si>
  <si>
    <t>MADISON</t>
  </si>
  <si>
    <t>MARCO'S</t>
  </si>
  <si>
    <t>26191 487TH AVE</t>
  </si>
  <si>
    <t>VALLEY SPRINGS</t>
  </si>
  <si>
    <t>57068</t>
  </si>
  <si>
    <t>NICKY'S</t>
  </si>
  <si>
    <t>1407 NW 2ND ST</t>
  </si>
  <si>
    <t>TACO SMACK</t>
  </si>
  <si>
    <t>1743 E MILITARY</t>
  </si>
  <si>
    <t>FREMONT</t>
  </si>
  <si>
    <t>NE</t>
  </si>
  <si>
    <t>68025</t>
  </si>
  <si>
    <t>HORIZON</t>
  </si>
  <si>
    <t>1220 TRI VIEW</t>
  </si>
  <si>
    <t>51103</t>
  </si>
  <si>
    <t>FIREHOUSE BAR</t>
  </si>
  <si>
    <t>1211 5TH STREET</t>
  </si>
  <si>
    <t>51101</t>
  </si>
  <si>
    <t>LALIBELA RESTAURANT LLC</t>
  </si>
  <si>
    <t>1001 W 11TH ST</t>
  </si>
  <si>
    <t>DAVES STEAKHOUSE</t>
  </si>
  <si>
    <t>211 KANSAS ST</t>
  </si>
  <si>
    <t>CROFTON</t>
  </si>
  <si>
    <t>68730</t>
  </si>
  <si>
    <t>CATFISH DAYS</t>
  </si>
  <si>
    <t>CITY OF FRANKLIN</t>
  </si>
  <si>
    <t>FRANKLIN</t>
  </si>
  <si>
    <t>55333</t>
  </si>
  <si>
    <t>99-TINNER'S BAR &amp; GRILL</t>
  </si>
  <si>
    <t>449 W 69TH ST</t>
  </si>
  <si>
    <t>LEMPKE BAR AND GRILL</t>
  </si>
  <si>
    <t>213 N BROADWAY ST</t>
  </si>
  <si>
    <t>AURORA</t>
  </si>
  <si>
    <t>BUCKSHOTS ROAD HOUSE</t>
  </si>
  <si>
    <t>40398 241ST ST</t>
  </si>
  <si>
    <t>LETCHER</t>
  </si>
  <si>
    <t>57359</t>
  </si>
  <si>
    <t>ECONO LODGE - LUVERNE</t>
  </si>
  <si>
    <t>801 S KNISS AVE</t>
  </si>
  <si>
    <t>LUVERNE</t>
  </si>
  <si>
    <t>THE EDGE SPORTS BAR &amp; GRI</t>
  </si>
  <si>
    <t>3157 JOLIET AVENUE</t>
  </si>
  <si>
    <t>MISSOURI VALLEY</t>
  </si>
  <si>
    <t>51555</t>
  </si>
  <si>
    <t>MANILLA BOWL-EMPLOYEE ACC</t>
  </si>
  <si>
    <t>541 MAIN STREET</t>
  </si>
  <si>
    <t>MANILLA</t>
  </si>
  <si>
    <t>51454</t>
  </si>
  <si>
    <t>TOP HAT LOUNGE - AJ'S AMT</t>
  </si>
  <si>
    <t>508 S 1ST AVE</t>
  </si>
  <si>
    <t>BURNS' GRILL AND STEAKHOU</t>
  </si>
  <si>
    <t>222 MAIN ST</t>
  </si>
  <si>
    <t>DOON</t>
  </si>
  <si>
    <t>51235</t>
  </si>
  <si>
    <t>99-WILDCAT INN</t>
  </si>
  <si>
    <t>300 N MAIN AVE</t>
  </si>
  <si>
    <t>BRIDGEWATER</t>
  </si>
  <si>
    <t>57319</t>
  </si>
  <si>
    <t>BEANO &amp; SHERRY'S-CASINO</t>
  </si>
  <si>
    <t>200 MILITARY RD</t>
  </si>
  <si>
    <t>BURN UNIT BBQ LLC</t>
  </si>
  <si>
    <t>1015 2ND AVE</t>
  </si>
  <si>
    <t>SIBLEY</t>
  </si>
  <si>
    <t>51249</t>
  </si>
  <si>
    <t>MELON BROS CAFE</t>
  </si>
  <si>
    <t>531 COMANCHE ST</t>
  </si>
  <si>
    <t>COUNCIL BLUFFS</t>
  </si>
  <si>
    <t>51501</t>
  </si>
  <si>
    <t>HARTFORD STEAK CO TAVERN</t>
  </si>
  <si>
    <t>7 COURT ST</t>
  </si>
  <si>
    <t>VERMILLION</t>
  </si>
  <si>
    <t>ROOSTERS</t>
  </si>
  <si>
    <t>221 SOUTH 5TH</t>
  </si>
  <si>
    <t>MENNO</t>
  </si>
  <si>
    <t>57045</t>
  </si>
  <si>
    <t>MA SHIRLEY'S LUNCH SHAQ</t>
  </si>
  <si>
    <t>112 N MAPLE ST</t>
  </si>
  <si>
    <t>INWOOD</t>
  </si>
  <si>
    <t>MIKE'S SALOON</t>
  </si>
  <si>
    <t>5605 HAMILTON BLVD</t>
  </si>
  <si>
    <t>51108</t>
  </si>
  <si>
    <t>PAPA MURPHYS</t>
  </si>
  <si>
    <t>1901 N MAIN ST</t>
  </si>
  <si>
    <t>MITCHELL</t>
  </si>
  <si>
    <t>DEW DROP INN</t>
  </si>
  <si>
    <t>109 MAIN STREET</t>
  </si>
  <si>
    <t>MC CLELLAND</t>
  </si>
  <si>
    <t>51548</t>
  </si>
  <si>
    <t>BULL &amp; BEAR LLC</t>
  </si>
  <si>
    <t>1910 LENCH AVE</t>
  </si>
  <si>
    <t>CRITTER BAR &amp; GRILL (RPC</t>
  </si>
  <si>
    <t>200 E MAIN</t>
  </si>
  <si>
    <t>CROOKS</t>
  </si>
  <si>
    <t>57020</t>
  </si>
  <si>
    <t>99-THE CAFE</t>
  </si>
  <si>
    <t>220 E. MAIN</t>
  </si>
  <si>
    <t>RAMONA</t>
  </si>
  <si>
    <t>57054</t>
  </si>
  <si>
    <t>FISH LAKE COUNTRY CLUB</t>
  </si>
  <si>
    <t>39051  253RD ST</t>
  </si>
  <si>
    <t>PLANKINTON</t>
  </si>
  <si>
    <t>57368</t>
  </si>
  <si>
    <t>ATTIC, THE</t>
  </si>
  <si>
    <t>4601 E 41ST ST</t>
  </si>
  <si>
    <t>99-THIRSTY DUCK - FOOD</t>
  </si>
  <si>
    <t>3301 E 26TH ST, SUITE 123</t>
  </si>
  <si>
    <t>THE RUSTY NAIL "DISHWASHE</t>
  </si>
  <si>
    <t>PO BOX 284</t>
  </si>
  <si>
    <t>WILLOW LAKE</t>
  </si>
  <si>
    <t>57278</t>
  </si>
  <si>
    <t>LOUIE M'S BURGER LUST</t>
  </si>
  <si>
    <t>1718 VINTON ST</t>
  </si>
  <si>
    <t>68108</t>
  </si>
  <si>
    <t>ADRIANOS BRICK OVEN</t>
  </si>
  <si>
    <t>18 N WALNUT</t>
  </si>
  <si>
    <t>GLENWOOD</t>
  </si>
  <si>
    <t>51534</t>
  </si>
  <si>
    <t>THE WRIGHT PLACE LLC</t>
  </si>
  <si>
    <t>114 S CENTER ST</t>
  </si>
  <si>
    <t>LAKE CITY</t>
  </si>
  <si>
    <t>51449</t>
  </si>
  <si>
    <t>WARDS STORE &amp; BAKERY</t>
  </si>
  <si>
    <t>127 CALUMET AVE SE</t>
  </si>
  <si>
    <t>DE SMET</t>
  </si>
  <si>
    <t>WATERTOWN HOCKEY ASSOC</t>
  </si>
  <si>
    <t>112 21ST ST SW</t>
  </si>
  <si>
    <t>WATERTOWN</t>
  </si>
  <si>
    <t>57201</t>
  </si>
  <si>
    <t>THIRSTY CARP LLC</t>
  </si>
  <si>
    <t>930 9TH ST HWY 71/175</t>
  </si>
  <si>
    <t>LAKE VIEW</t>
  </si>
  <si>
    <t>IOWA BARBEQUE CO INC.</t>
  </si>
  <si>
    <t>100 PLYMOUTH ST SW</t>
  </si>
  <si>
    <t>LE MARS</t>
  </si>
  <si>
    <t>51031</t>
  </si>
  <si>
    <t>FIRE STONE PIZZERIA</t>
  </si>
  <si>
    <t>3001 S 144TH ST</t>
  </si>
  <si>
    <t>68144</t>
  </si>
  <si>
    <t>SPINK FAMILY RESTAURANT</t>
  </si>
  <si>
    <t>103 E MAIN ST</t>
  </si>
  <si>
    <t>ELK POINT</t>
  </si>
  <si>
    <t>57025</t>
  </si>
  <si>
    <t>SWEET TOOTH DRIVE INN</t>
  </si>
  <si>
    <t>123 ELK STREET W</t>
  </si>
  <si>
    <t>68743</t>
  </si>
  <si>
    <t>BREWBURGERS</t>
  </si>
  <si>
    <t>4629 S 108TH ST</t>
  </si>
  <si>
    <t>68127</t>
  </si>
  <si>
    <t>VILLAGER</t>
  </si>
  <si>
    <t>421 FLINDT DR</t>
  </si>
  <si>
    <t>STORM LAKE</t>
  </si>
  <si>
    <t>50588</t>
  </si>
  <si>
    <t>WOODEN LEGS BREWING COMPA</t>
  </si>
  <si>
    <t>309 5TH STREET #100</t>
  </si>
  <si>
    <t>BROOKINGS</t>
  </si>
  <si>
    <t>99-RED ROOF INN</t>
  </si>
  <si>
    <t>3500 S GATEWAY BLVD</t>
  </si>
  <si>
    <t>FRIDAY'S HERO/RECOVERY RO</t>
  </si>
  <si>
    <t>1104 W 18TH ST</t>
  </si>
  <si>
    <t>BORDINE HOLDINGS LLC</t>
  </si>
  <si>
    <t>513 2ND STREET</t>
  </si>
  <si>
    <t>LOHRVILLE</t>
  </si>
  <si>
    <t>51453</t>
  </si>
  <si>
    <t>RB BEERS AND BURGERS</t>
  </si>
  <si>
    <t>2901 BROADWAY AVE, SUITE</t>
  </si>
  <si>
    <t>YANKTON</t>
  </si>
  <si>
    <t>4 BROTHERS GRILL LLC</t>
  </si>
  <si>
    <t>3322 SINGING HILLS BLVD.</t>
  </si>
  <si>
    <t>51106</t>
  </si>
  <si>
    <t>LEROY'S BAR &amp; GRILL</t>
  </si>
  <si>
    <t>89 W 1ST ST</t>
  </si>
  <si>
    <t>COTTONWOOD</t>
  </si>
  <si>
    <t>PENDER LANES</t>
  </si>
  <si>
    <t>415 SOUTH 4TH STREET</t>
  </si>
  <si>
    <t>PENDER</t>
  </si>
  <si>
    <t>68047</t>
  </si>
  <si>
    <t>ALCESTER GOLF COURSE</t>
  </si>
  <si>
    <t>609 SD HWY 11</t>
  </si>
  <si>
    <t>ALCESTER</t>
  </si>
  <si>
    <t>1892 GERMAN BIER HAUS</t>
  </si>
  <si>
    <t>142 W. BROADWAY</t>
  </si>
  <si>
    <t>51503</t>
  </si>
  <si>
    <t>HUNAN FUSION</t>
  </si>
  <si>
    <t>2405 SOUTH 132ND STREET</t>
  </si>
  <si>
    <t>VINE ST CELLARS</t>
  </si>
  <si>
    <t>17 N VINE STREET</t>
  </si>
  <si>
    <t>PRAIRIE WINDS GOLF CLUB</t>
  </si>
  <si>
    <t>555 S LAKE DR</t>
  </si>
  <si>
    <t>DOOSKY'S PIZZA &amp; PATIO</t>
  </si>
  <si>
    <t>1116 TARVIEW DRIVE</t>
  </si>
  <si>
    <t>HINTON</t>
  </si>
  <si>
    <t>51024</t>
  </si>
  <si>
    <t>GOBBLE STOP TURKEY SHOP</t>
  </si>
  <si>
    <t>4765-420 TH. STREET</t>
  </si>
  <si>
    <t>GRANVILLE</t>
  </si>
  <si>
    <t>51022</t>
  </si>
  <si>
    <t>OLIVIA'S BAKERY</t>
  </si>
  <si>
    <t>323 NORTH MAIN AVENUE</t>
  </si>
  <si>
    <t>SIOUX CENTER</t>
  </si>
  <si>
    <t>51250</t>
  </si>
  <si>
    <t>TRIANGLE BAR</t>
  </si>
  <si>
    <t>108 S WASHINGTON ST</t>
  </si>
  <si>
    <t>REMSEN</t>
  </si>
  <si>
    <t>51050</t>
  </si>
  <si>
    <t>THE ROADHOUSE</t>
  </si>
  <si>
    <t>723 8TH ST SE</t>
  </si>
  <si>
    <t>ORANGE CITY</t>
  </si>
  <si>
    <t>51041</t>
  </si>
  <si>
    <t>LADELLE &amp; FOURTH COFFEE H</t>
  </si>
  <si>
    <t>336 E 4TH ST</t>
  </si>
  <si>
    <t>DELL RAPIDS</t>
  </si>
  <si>
    <t>THE GOAT BAR &amp; GRILL</t>
  </si>
  <si>
    <t>116 W HWY 38</t>
  </si>
  <si>
    <t>HARTFORD</t>
  </si>
  <si>
    <t>57033</t>
  </si>
  <si>
    <t>CHAPLINS</t>
  </si>
  <si>
    <t>575 HIGHWAY 71 S</t>
  </si>
  <si>
    <t>ARNOLDS PARK</t>
  </si>
  <si>
    <t>51331</t>
  </si>
  <si>
    <t>CIELITO LINDO MEXICAN RES</t>
  </si>
  <si>
    <t>120 N ILLINIOS ST</t>
  </si>
  <si>
    <t>38 ROADHOUSE</t>
  </si>
  <si>
    <t>4901 N ELLIS ROAD</t>
  </si>
  <si>
    <t>HOT PLATE</t>
  </si>
  <si>
    <t>404 BOWER ST</t>
  </si>
  <si>
    <t>DOXX WAREHOUSE BAR</t>
  </si>
  <si>
    <t>1219 5TH ST</t>
  </si>
  <si>
    <t>FIRESIDE STEAKHOUSE</t>
  </si>
  <si>
    <t>121 E MAIN</t>
  </si>
  <si>
    <t>ANTHON</t>
  </si>
  <si>
    <t>51004</t>
  </si>
  <si>
    <t>DAYS INN - WHYNDOM GATEWA</t>
  </si>
  <si>
    <t>3401 S GATEWAY BLVD</t>
  </si>
  <si>
    <t>99-MOES SOUTHWEST GRILL</t>
  </si>
  <si>
    <t>3406 S WESTERN AVE</t>
  </si>
  <si>
    <t>WILD WATER WEST *STAFF*</t>
  </si>
  <si>
    <t>26767 466TH AVE</t>
  </si>
  <si>
    <t>CHUCKS BAR &amp; GRILL</t>
  </si>
  <si>
    <t>512 MAIN STREET</t>
  </si>
  <si>
    <t>COON RAPIDS</t>
  </si>
  <si>
    <t>50058</t>
  </si>
  <si>
    <t>AMERICINN MOTEL &amp; SUITES-</t>
  </si>
  <si>
    <t>3508 S GATEWAY BLVD</t>
  </si>
  <si>
    <t>TABOR MAIN STREET CAFE</t>
  </si>
  <si>
    <t>710 MAIN STREET</t>
  </si>
  <si>
    <t>TABOR</t>
  </si>
  <si>
    <t>51653</t>
  </si>
  <si>
    <t>BLUE TE QUILA 2</t>
  </si>
  <si>
    <t>15 1ST ST NE</t>
  </si>
  <si>
    <t>THE BARCODE BAR &amp; GRILL</t>
  </si>
  <si>
    <t>4200 N CLIFF AVE</t>
  </si>
  <si>
    <t>WESTSIDE PIZZA</t>
  </si>
  <si>
    <t>1200 W 4TH STREET</t>
  </si>
  <si>
    <t>THE GULCH</t>
  </si>
  <si>
    <t>516 MAIN ST</t>
  </si>
  <si>
    <t>GARRETSON</t>
  </si>
  <si>
    <t>57030</t>
  </si>
  <si>
    <t>SOUTH MAIN PUB &amp; CASINO</t>
  </si>
  <si>
    <t>615 MAIN AVE S</t>
  </si>
  <si>
    <t>RAMKOTA INN</t>
  </si>
  <si>
    <t>3200 W MAPLE ST</t>
  </si>
  <si>
    <t>AKRON GOLF CLUB</t>
  </si>
  <si>
    <t>941 COUNTRY CLUB DR</t>
  </si>
  <si>
    <t>AKRON</t>
  </si>
  <si>
    <t>51001</t>
  </si>
  <si>
    <t>HIWAY CAFE LYONS</t>
  </si>
  <si>
    <t>77 &amp; MAIN STREET</t>
  </si>
  <si>
    <t>LYONS</t>
  </si>
  <si>
    <t>68038</t>
  </si>
  <si>
    <t>THE ALIBI</t>
  </si>
  <si>
    <t>7605 E HWY 42</t>
  </si>
  <si>
    <t>CLIFFORDS</t>
  </si>
  <si>
    <t>101 N BROADWAY</t>
  </si>
  <si>
    <t>HORSEMENS PARK</t>
  </si>
  <si>
    <t>6303 "Q" STREET</t>
  </si>
  <si>
    <t>68117</t>
  </si>
  <si>
    <t>PAPA D'S DINER</t>
  </si>
  <si>
    <t>509 2ND STREET</t>
  </si>
  <si>
    <t>DAWSON</t>
  </si>
  <si>
    <t>56232</t>
  </si>
  <si>
    <t>KAVERN'S</t>
  </si>
  <si>
    <t>300 LINCOLN</t>
  </si>
  <si>
    <t>VOLIN</t>
  </si>
  <si>
    <t>57072</t>
  </si>
  <si>
    <t>CITY HALL BAR AND GRILL</t>
  </si>
  <si>
    <t>118 E 1ST ST</t>
  </si>
  <si>
    <t>MINNEOTA</t>
  </si>
  <si>
    <t>56264</t>
  </si>
  <si>
    <t>CITY OF MARSHALL-AQUATIC</t>
  </si>
  <si>
    <t>400 W COLLEGE DR</t>
  </si>
  <si>
    <t>MARSHALL</t>
  </si>
  <si>
    <t>TK'S TAVERN</t>
  </si>
  <si>
    <t>723 SECOND STREET</t>
  </si>
  <si>
    <t>WEBSTER CITY</t>
  </si>
  <si>
    <t>50595</t>
  </si>
  <si>
    <t>99-TALLY-HO COFFEE II</t>
  </si>
  <si>
    <t>845 MAIN ST</t>
  </si>
  <si>
    <t>EDGERTON</t>
  </si>
  <si>
    <t>56128</t>
  </si>
  <si>
    <t>EXTRA INNINGS</t>
  </si>
  <si>
    <t>128 W MAIN ST</t>
  </si>
  <si>
    <t>BLUESTEM RESTAURANT</t>
  </si>
  <si>
    <t>1202 S KNISS AVE</t>
  </si>
  <si>
    <t>THE 18TH AMENDMENT</t>
  </si>
  <si>
    <t>1301 W 41ST ST</t>
  </si>
  <si>
    <t>RIDES BAR &amp; GRILL LLC</t>
  </si>
  <si>
    <t>723 SO 31ST ST</t>
  </si>
  <si>
    <t>FORT DODGE</t>
  </si>
  <si>
    <t>50501</t>
  </si>
  <si>
    <t>MADISON GOLF-MADISON MN</t>
  </si>
  <si>
    <t>2225 HWY 40</t>
  </si>
  <si>
    <t>THE OLD PANHEAD REST. &amp; L</t>
  </si>
  <si>
    <t>314 N. MAIN</t>
  </si>
  <si>
    <t>MARCUS</t>
  </si>
  <si>
    <t>51035</t>
  </si>
  <si>
    <t>SUPER 8 MOTEL - NORTH CLI</t>
  </si>
  <si>
    <t>4808 N CLIFF AVE</t>
  </si>
  <si>
    <t>99-HILLS BAR</t>
  </si>
  <si>
    <t>203 S MAIN</t>
  </si>
  <si>
    <t>HILLS</t>
  </si>
  <si>
    <t>56138</t>
  </si>
  <si>
    <t>GATHER</t>
  </si>
  <si>
    <t>122 E KEMP AVE</t>
  </si>
  <si>
    <t>A.K. CORRAL</t>
  </si>
  <si>
    <t>103 W. MAIN</t>
  </si>
  <si>
    <t>UTE</t>
  </si>
  <si>
    <t>51060</t>
  </si>
  <si>
    <t>SHERI'S</t>
  </si>
  <si>
    <t>504 W SHERIDAN AVE</t>
  </si>
  <si>
    <t>SHENANDOAH</t>
  </si>
  <si>
    <t>51601</t>
  </si>
  <si>
    <t>SARATOGA CLUB</t>
  </si>
  <si>
    <t>506 N 14TH STREET</t>
  </si>
  <si>
    <t>DAKOTA CITY</t>
  </si>
  <si>
    <t>68731</t>
  </si>
  <si>
    <t>99-THIS OL' PLACE</t>
  </si>
  <si>
    <t>101 2ND ST</t>
  </si>
  <si>
    <t>GARVIN</t>
  </si>
  <si>
    <t>56132</t>
  </si>
  <si>
    <t>MICHAEL'S DSPI, LLC.</t>
  </si>
  <si>
    <t>514 12TH ST</t>
  </si>
  <si>
    <t>ONAWA</t>
  </si>
  <si>
    <t>51040</t>
  </si>
  <si>
    <t>PRINCES BAR</t>
  </si>
  <si>
    <t>1920 CENTER ST</t>
  </si>
  <si>
    <t>EROS CAFETERIA</t>
  </si>
  <si>
    <t>47914 252ND STREET</t>
  </si>
  <si>
    <t>57198</t>
  </si>
  <si>
    <t>CABOOSE GRILL</t>
  </si>
  <si>
    <t>200 MAIN ST</t>
  </si>
  <si>
    <t>LESTER</t>
  </si>
  <si>
    <t>51242</t>
  </si>
  <si>
    <t>AMERICINN</t>
  </si>
  <si>
    <t>1421 S BURR ST</t>
  </si>
  <si>
    <t>THE SKY LOUNGE</t>
  </si>
  <si>
    <t>SHOOTER'S BAR &amp; GRILL</t>
  </si>
  <si>
    <t>530 W CHRISTENSON</t>
  </si>
  <si>
    <t>APPLETON</t>
  </si>
  <si>
    <t>56208</t>
  </si>
  <si>
    <t>MEYERS RECREATION CENTER</t>
  </si>
  <si>
    <t>111 N MAIN ST</t>
  </si>
  <si>
    <t>SOUTH SHORE</t>
  </si>
  <si>
    <t>57263</t>
  </si>
  <si>
    <t>DAWSON BOWL</t>
  </si>
  <si>
    <t>784 6TH ST</t>
  </si>
  <si>
    <t>HOWARD GOLF</t>
  </si>
  <si>
    <t>508 E FARMER AVE</t>
  </si>
  <si>
    <t>HOWARD</t>
  </si>
  <si>
    <t>57349</t>
  </si>
  <si>
    <t>ANTOJITOS LATINOS FOOD TR</t>
  </si>
  <si>
    <t>4705 E HAGEN CIR</t>
  </si>
  <si>
    <t>LOS TRES AMIGOS</t>
  </si>
  <si>
    <t>3521 5TH AVENUE</t>
  </si>
  <si>
    <t>99-1ST WOK</t>
  </si>
  <si>
    <t>523 W 10TH ST</t>
  </si>
  <si>
    <t>DORMITORY INN</t>
  </si>
  <si>
    <t>130 4TH ST</t>
  </si>
  <si>
    <t>CASTANA</t>
  </si>
  <si>
    <t>51010</t>
  </si>
  <si>
    <t>THE SPORTS PAGE BAR &amp; GRI</t>
  </si>
  <si>
    <t>225 MAINE AVE</t>
  </si>
  <si>
    <t>ADRIAN</t>
  </si>
  <si>
    <t>56110</t>
  </si>
  <si>
    <t>B &amp; C'S CHAPS BAR &amp; GRILL</t>
  </si>
  <si>
    <t>708 ILLINOIS STREET</t>
  </si>
  <si>
    <t>SIDNEY</t>
  </si>
  <si>
    <t>51652</t>
  </si>
  <si>
    <t>PHINNEY'S PUB &amp; CASINO</t>
  </si>
  <si>
    <t>2101 BROADWAY AVE</t>
  </si>
  <si>
    <t>PIZZA MAN OF SD - E 10TH</t>
  </si>
  <si>
    <t>2417 E 10TH ST</t>
  </si>
  <si>
    <t>TAKO N MADRE</t>
  </si>
  <si>
    <t>3305 PAWNEE PL</t>
  </si>
  <si>
    <t>BO BO CHINA</t>
  </si>
  <si>
    <t>15414 WEIR ST.</t>
  </si>
  <si>
    <t>68137</t>
  </si>
  <si>
    <t>ADA J'S STEAKHOUSE LLC</t>
  </si>
  <si>
    <t>103 WEST MAIN ST</t>
  </si>
  <si>
    <t>FUZZY'S BAR &amp; GRILL</t>
  </si>
  <si>
    <t>236 W MAIN ST</t>
  </si>
  <si>
    <t>MANILLA BOWL-STRIKES INC.</t>
  </si>
  <si>
    <t>CONEY ISLAND</t>
  </si>
  <si>
    <t>510 NEBRASKA ST</t>
  </si>
  <si>
    <t>CORRAL LANES</t>
  </si>
  <si>
    <t>114 N STORY ST</t>
  </si>
  <si>
    <t>ROCK RAPIDS</t>
  </si>
  <si>
    <t>51246</t>
  </si>
  <si>
    <t>WINN-A-VEGAS CASINO</t>
  </si>
  <si>
    <t>1500 330TH ST</t>
  </si>
  <si>
    <t>SLOAN</t>
  </si>
  <si>
    <t>51055</t>
  </si>
  <si>
    <t>MA &amp; PA'S BEER THIRTY</t>
  </si>
  <si>
    <t>108 MAPLE ST E</t>
  </si>
  <si>
    <t>MONROE</t>
  </si>
  <si>
    <t>57047</t>
  </si>
  <si>
    <t>HUNAN PALACE</t>
  </si>
  <si>
    <t>3523 SINGING HILLS BLVD</t>
  </si>
  <si>
    <t>THE HIDEOUT</t>
  </si>
  <si>
    <t>4811 OAK HILL AVE.</t>
  </si>
  <si>
    <t>PAULLINA</t>
  </si>
  <si>
    <t>51046</t>
  </si>
  <si>
    <t>BLUE MOON</t>
  </si>
  <si>
    <t>708 SECOND ST</t>
  </si>
  <si>
    <t>ARMOUR</t>
  </si>
  <si>
    <t>HARVEY'S</t>
  </si>
  <si>
    <t>5307 MILITARY RD</t>
  </si>
  <si>
    <t>51109</t>
  </si>
  <si>
    <t>CORNER POCKET</t>
  </si>
  <si>
    <t>2425 E 5TH STREET</t>
  </si>
  <si>
    <t>99 MUGGSY'S SUB GALLERY</t>
  </si>
  <si>
    <t>821 BROADWAY AVENUE</t>
  </si>
  <si>
    <t>THE KEG (EASTSIDE LOCATIO</t>
  </si>
  <si>
    <t>5216 E ARROWHEAD PKWY</t>
  </si>
  <si>
    <t>99-ROOKIES SPORTS BAR &amp; G</t>
  </si>
  <si>
    <t>2616 S LOUISE AVE</t>
  </si>
  <si>
    <t>THE PICKLED CUCUMBER</t>
  </si>
  <si>
    <t>47838 270TH ST</t>
  </si>
  <si>
    <t>OSSYS / PIRANHA CLUB</t>
  </si>
  <si>
    <t>1215 E PLAZA DR</t>
  </si>
  <si>
    <t>CARROLL</t>
  </si>
  <si>
    <t>51401</t>
  </si>
  <si>
    <t>SNEAKER EATERY &amp; PUB</t>
  </si>
  <si>
    <t>1317 CENTRAL AVE</t>
  </si>
  <si>
    <t>TOKYO</t>
  </si>
  <si>
    <t>819 E SPRUCE ST, STE 160</t>
  </si>
  <si>
    <t>NORTHSIDE LOUNGE</t>
  </si>
  <si>
    <t>1115 MAIN ST</t>
  </si>
  <si>
    <t>PERSIA</t>
  </si>
  <si>
    <t>51563</t>
  </si>
  <si>
    <t>COFFEE CUP - SUMMIT</t>
  </si>
  <si>
    <t>45789 US HIGHWAY 12</t>
  </si>
  <si>
    <t>SUMMIT</t>
  </si>
  <si>
    <t>57266</t>
  </si>
  <si>
    <t>WHISKEY DICKS</t>
  </si>
  <si>
    <t>212 CUNNINGHAM DRIVE</t>
  </si>
  <si>
    <t>KAVERN'S PUB</t>
  </si>
  <si>
    <t>300 LINCOLN AVE</t>
  </si>
  <si>
    <t>SIOUX CITY CONVENTION CTR</t>
  </si>
  <si>
    <t>801 4TH ST</t>
  </si>
  <si>
    <t>COMMUNITY TAP</t>
  </si>
  <si>
    <t>2026 5TH AVENUE SOUTH</t>
  </si>
  <si>
    <t>JULIES PLACE</t>
  </si>
  <si>
    <t>214 N ST PAUL AVE</t>
  </si>
  <si>
    <t>FULDA</t>
  </si>
  <si>
    <t>56131</t>
  </si>
  <si>
    <t>99-J L BEERS</t>
  </si>
  <si>
    <t>323 S PHILLIPS AVE</t>
  </si>
  <si>
    <t>4TH AVE GRILL</t>
  </si>
  <si>
    <t>115 N 4TH AVE</t>
  </si>
  <si>
    <t>LOGAN</t>
  </si>
  <si>
    <t>LITTLE BRICK ICE CREAM</t>
  </si>
  <si>
    <t>311 S MAIN #2</t>
  </si>
  <si>
    <t>PLATTE</t>
  </si>
  <si>
    <t>57369</t>
  </si>
  <si>
    <t>EL BURRITO LOCO</t>
  </si>
  <si>
    <t>406 LINCOLN HWY</t>
  </si>
  <si>
    <t>HICKORY KITCHEN&amp;COCKTAILS</t>
  </si>
  <si>
    <t>10 7TH AVE W</t>
  </si>
  <si>
    <t>SISSETON</t>
  </si>
  <si>
    <t>57262</t>
  </si>
  <si>
    <t>DAKOTA COFFEE KIOSK</t>
  </si>
  <si>
    <t>1100 S EUCLID AVE</t>
  </si>
  <si>
    <t>57117</t>
  </si>
  <si>
    <t>FOXYS CASINO</t>
  </si>
  <si>
    <t>137 5TH STREET NE</t>
  </si>
  <si>
    <t>APPLETON AQUATIC CENTER</t>
  </si>
  <si>
    <t>50 W LHOTKA AVE</t>
  </si>
  <si>
    <t>TASTEE-GORDON</t>
  </si>
  <si>
    <t>2610 GORDON DRIVE</t>
  </si>
  <si>
    <t>RING SIDE CAFE</t>
  </si>
  <si>
    <t>28168 COMMERCE AVE</t>
  </si>
  <si>
    <t>WORTHING</t>
  </si>
  <si>
    <t>57077</t>
  </si>
  <si>
    <t>DAIRY DANDY -SHELDON</t>
  </si>
  <si>
    <t>719 6TH ST</t>
  </si>
  <si>
    <t>SHELDON</t>
  </si>
  <si>
    <t>51201</t>
  </si>
  <si>
    <t>RED BARN GRILL</t>
  </si>
  <si>
    <t>1012 WALKER DR</t>
  </si>
  <si>
    <t>LENNOX</t>
  </si>
  <si>
    <t>57039</t>
  </si>
  <si>
    <t>THE COUNTRY CLUB OF SF</t>
  </si>
  <si>
    <t>3400 W 22ND ST</t>
  </si>
  <si>
    <t>PJ'S MINI MART/CAFE</t>
  </si>
  <si>
    <t>891 1ST AVE</t>
  </si>
  <si>
    <t>HERON LAKE</t>
  </si>
  <si>
    <t>56137</t>
  </si>
  <si>
    <t>EL BASHA GRILL INC</t>
  </si>
  <si>
    <t>7503 PACIFIC STREET</t>
  </si>
  <si>
    <t>68114</t>
  </si>
  <si>
    <t>THE TAP</t>
  </si>
  <si>
    <t>107 12TH STREET</t>
  </si>
  <si>
    <t>WORTHINGTON</t>
  </si>
  <si>
    <t>B &amp; R'S PIZZA POST, INC.</t>
  </si>
  <si>
    <t>411 EVANS</t>
  </si>
  <si>
    <t>ANTHON GOLF CLUB INC.</t>
  </si>
  <si>
    <t>2236 HWY 31</t>
  </si>
  <si>
    <t>NUNDA BAR &amp; GRILL</t>
  </si>
  <si>
    <t>506 MAIN ST</t>
  </si>
  <si>
    <t>NUNDA</t>
  </si>
  <si>
    <t>57050</t>
  </si>
  <si>
    <t>99-HENRY STEAKHOUSE &amp; LOU</t>
  </si>
  <si>
    <t>209 MAIN ST</t>
  </si>
  <si>
    <t>HENRY</t>
  </si>
  <si>
    <t>57243</t>
  </si>
  <si>
    <t>BEEF 'O' BRADY'S</t>
  </si>
  <si>
    <t>4021 N BOBHALLA DR</t>
  </si>
  <si>
    <t>THE WARRIOR HOTEL</t>
  </si>
  <si>
    <t>525 6TH ST</t>
  </si>
  <si>
    <t>PANTRY PICKINS</t>
  </si>
  <si>
    <t>426 WIPF ST</t>
  </si>
  <si>
    <t>FREEMAN</t>
  </si>
  <si>
    <t>57029</t>
  </si>
  <si>
    <t>FERG'S PLACE</t>
  </si>
  <si>
    <t>806 HWY 30</t>
  </si>
  <si>
    <t>GRAND JUNCTION</t>
  </si>
  <si>
    <t>50107</t>
  </si>
  <si>
    <t>CENTERVILLE STEAKHOUSE,TH</t>
  </si>
  <si>
    <t>601 BROADWAY</t>
  </si>
  <si>
    <t>CENTERVILLE</t>
  </si>
  <si>
    <t>57014</t>
  </si>
  <si>
    <t>OLDHAM SALOON</t>
  </si>
  <si>
    <t>201 EAST MAIN</t>
  </si>
  <si>
    <t>OLDHAM</t>
  </si>
  <si>
    <t>57051</t>
  </si>
  <si>
    <t>BOOMS/TOUCH OF CLASS</t>
  </si>
  <si>
    <t>606 E 7TH ST</t>
  </si>
  <si>
    <t>I-90 SPEEDWAY INC</t>
  </si>
  <si>
    <t>46052 SD HIGHWAY 38</t>
  </si>
  <si>
    <t>ALICIA'S TACO DOME</t>
  </si>
  <si>
    <t>109 GAUL DRIVE</t>
  </si>
  <si>
    <t>SERGEANT BLUFF</t>
  </si>
  <si>
    <t>CHA CHE'S CAFE</t>
  </si>
  <si>
    <t>110 MAIN ST</t>
  </si>
  <si>
    <t>ODESSA</t>
  </si>
  <si>
    <t>56276</t>
  </si>
  <si>
    <t>STRINGERS BAR &amp; GRILL</t>
  </si>
  <si>
    <t>3703 W 8TH ST</t>
  </si>
  <si>
    <t>NICK'S</t>
  </si>
  <si>
    <t>427 MAIN AVE</t>
  </si>
  <si>
    <t>CLUB 191</t>
  </si>
  <si>
    <t>101 MAIN STREET</t>
  </si>
  <si>
    <t>PORTSMOUTH</t>
  </si>
  <si>
    <t>51565</t>
  </si>
  <si>
    <t>CASA DEL REY - SIOUX FALL</t>
  </si>
  <si>
    <t>901 W RUSSELL ST</t>
  </si>
  <si>
    <t>BOSS' PIZZA &amp; SPORTS BAR</t>
  </si>
  <si>
    <t>1301 W RUSSELL ST</t>
  </si>
  <si>
    <t>BIG ERN'S BAR &amp; GRILL</t>
  </si>
  <si>
    <t>306 N WEST AVE</t>
  </si>
  <si>
    <t>TREVETT'S CAFE &amp; CATERING</t>
  </si>
  <si>
    <t>W HWY 12</t>
  </si>
  <si>
    <t>MILBANK</t>
  </si>
  <si>
    <t>57252</t>
  </si>
  <si>
    <t>CLASSIC CAFE</t>
  </si>
  <si>
    <t>315 MAIN STREET</t>
  </si>
  <si>
    <t>MALVERN</t>
  </si>
  <si>
    <t>51551</t>
  </si>
  <si>
    <t>99 LA HERRADURA</t>
  </si>
  <si>
    <t>129 HARRISON ST</t>
  </si>
  <si>
    <t>OAKLAND</t>
  </si>
  <si>
    <t>51560</t>
  </si>
  <si>
    <t>QUARTHOUSE LOUNGE</t>
  </si>
  <si>
    <t>20 N WALNUT</t>
  </si>
  <si>
    <t>LAKE CITY SLOWPITCH SOFTB</t>
  </si>
  <si>
    <t>1811 3RD ST SW</t>
  </si>
  <si>
    <t>PETE'S 20TH</t>
  </si>
  <si>
    <t>3118 JAY AVENUE</t>
  </si>
  <si>
    <t>JERRY'S PIZZA OF LEMARS</t>
  </si>
  <si>
    <t>25 PLYMOUTH ST NE</t>
  </si>
  <si>
    <t>THE GOLF CLUB</t>
  </si>
  <si>
    <t>1825 235TH STREET</t>
  </si>
  <si>
    <t>BEEF 'O' BRADY'S--69TH ST</t>
  </si>
  <si>
    <t>2210 W 69TH ST STE 100</t>
  </si>
  <si>
    <t>TOMMY JACKS</t>
  </si>
  <si>
    <t>214 E 12TH ST</t>
  </si>
  <si>
    <t>HITCHING POST OF MARSHALL</t>
  </si>
  <si>
    <t>1104 E MAIN ST</t>
  </si>
  <si>
    <t>99-BUFFALO RIDGE WILDROSE</t>
  </si>
  <si>
    <t>109 BROADWAY N</t>
  </si>
  <si>
    <t>LAKE WILSON</t>
  </si>
  <si>
    <t>56151</t>
  </si>
  <si>
    <t>TABLES</t>
  </si>
  <si>
    <t>121 E MAIN ST</t>
  </si>
  <si>
    <t>CASTLEWOOD</t>
  </si>
  <si>
    <t>57223</t>
  </si>
  <si>
    <t>KAUDA COFFEE HOUSE &amp; REST</t>
  </si>
  <si>
    <t>1701 E. 10TH ST</t>
  </si>
  <si>
    <t>99-UNCLE DAVE'S ALL STAR</t>
  </si>
  <si>
    <t>800 S ROHL DR</t>
  </si>
  <si>
    <t>HAMPTON INN - MITCHELL</t>
  </si>
  <si>
    <t>1920 HIGHLAND WAY</t>
  </si>
  <si>
    <t>MICHELLS</t>
  </si>
  <si>
    <t>210 NORTH MAIN</t>
  </si>
  <si>
    <t>TRIPP</t>
  </si>
  <si>
    <t>57376</t>
  </si>
  <si>
    <t>LITTLE SIOUXLOON</t>
  </si>
  <si>
    <t>203 E MAIN ST</t>
  </si>
  <si>
    <t>CROOKS CONSERVATION &amp; GUN</t>
  </si>
  <si>
    <t>2808 W 84TH ST</t>
  </si>
  <si>
    <t>SALOON 44 &amp; EVENT CENTER</t>
  </si>
  <si>
    <t>1060 E HIGHWAY 44</t>
  </si>
  <si>
    <t>WINNER</t>
  </si>
  <si>
    <t>57580</t>
  </si>
  <si>
    <t>HUTCHS CAFE</t>
  </si>
  <si>
    <t>612 E MAIN ST</t>
  </si>
  <si>
    <t>SAC CITY</t>
  </si>
  <si>
    <t>50583</t>
  </si>
  <si>
    <t>DESOTO INN &amp; SUITES-BLAIR</t>
  </si>
  <si>
    <t>1355 SOUTH HIGHWAY 30</t>
  </si>
  <si>
    <t>BLAIR</t>
  </si>
  <si>
    <t>68008</t>
  </si>
  <si>
    <t>EMBEE'S CORNER CAFE</t>
  </si>
  <si>
    <t>19708 HWY 30 W</t>
  </si>
  <si>
    <t>BEST WESTERN OF HURON</t>
  </si>
  <si>
    <t>2000 DAKOTA AVE S</t>
  </si>
  <si>
    <t>HURON</t>
  </si>
  <si>
    <t>57350</t>
  </si>
  <si>
    <t>HEROES SPORTS BAR AND GRI</t>
  </si>
  <si>
    <t>205 1ST ST W</t>
  </si>
  <si>
    <t>CANBY</t>
  </si>
  <si>
    <t>56220</t>
  </si>
  <si>
    <t>MILLER GOLF COURSE</t>
  </si>
  <si>
    <t>2808 N BROADWAY</t>
  </si>
  <si>
    <t>MILLER</t>
  </si>
  <si>
    <t>HARTFORD STEAK CO. TAVERN</t>
  </si>
  <si>
    <t>709 N MUNDT</t>
  </si>
  <si>
    <t>SUPER 8 MOTEL - BERESFORD</t>
  </si>
  <si>
    <t>1410 W CEDAR ST</t>
  </si>
  <si>
    <t>BERESFORD</t>
  </si>
  <si>
    <t>57004</t>
  </si>
  <si>
    <t>GREAT PLAINS ZOO - CONCES</t>
  </si>
  <si>
    <t>805 S KIWANIS AVE</t>
  </si>
  <si>
    <t>CRAZY BOB'S - MEAT ACCT</t>
  </si>
  <si>
    <t>313 S MAIN STREET</t>
  </si>
  <si>
    <t>SOUTHFORK LOUNGE</t>
  </si>
  <si>
    <t>1905 5TH ST SE</t>
  </si>
  <si>
    <t>GOLDEN PHEASANT</t>
  </si>
  <si>
    <t>44028 HWY 3</t>
  </si>
  <si>
    <t>GOODE TO GO</t>
  </si>
  <si>
    <t>1301 RIVER DRIVE</t>
  </si>
  <si>
    <t>SAC COUNTRY CLUB</t>
  </si>
  <si>
    <t>729 OAK STREET</t>
  </si>
  <si>
    <t>99-WILMONT SALOON #7</t>
  </si>
  <si>
    <t>402 4TH AVE</t>
  </si>
  <si>
    <t>WILMONT</t>
  </si>
  <si>
    <t>56185</t>
  </si>
  <si>
    <t>THE LOG CABIN</t>
  </si>
  <si>
    <t>251 WOODMAN AVE</t>
  </si>
  <si>
    <t>DOVRAY</t>
  </si>
  <si>
    <t>56125</t>
  </si>
  <si>
    <t>THE ALIBI-GARY SD</t>
  </si>
  <si>
    <t>219 1ST AVE</t>
  </si>
  <si>
    <t>GARY</t>
  </si>
  <si>
    <t>57237</t>
  </si>
  <si>
    <t>BOWLERS INN</t>
  </si>
  <si>
    <t>103 MAIN ST</t>
  </si>
  <si>
    <t>LAKEFIELD</t>
  </si>
  <si>
    <t>56150</t>
  </si>
  <si>
    <t>TONY'S CATERING</t>
  </si>
  <si>
    <t>216 W 5TH STREET</t>
  </si>
  <si>
    <t>OG GREENS</t>
  </si>
  <si>
    <t>421 N PHILLIPS AVE</t>
  </si>
  <si>
    <t>CD CAFE RUSHMORE</t>
  </si>
  <si>
    <t>124 N THOMPSON AVE</t>
  </si>
  <si>
    <t>RUSHMORE</t>
  </si>
  <si>
    <t>56168</t>
  </si>
  <si>
    <t>EXTRA INNINGS PANINOS</t>
  </si>
  <si>
    <t>128 MAIN ST WEST</t>
  </si>
  <si>
    <t>PIZZA RANCH - HARTFORD</t>
  </si>
  <si>
    <t>120 W HIGHWAY 38</t>
  </si>
  <si>
    <t>THE HUDDLE LOUNGE</t>
  </si>
  <si>
    <t>110 E 8TH ST</t>
  </si>
  <si>
    <t>SOUTH SIOUX CITY</t>
  </si>
  <si>
    <t>68776</t>
  </si>
  <si>
    <t>CHUMLY'S</t>
  </si>
  <si>
    <t>1311 E BRIDGE ST</t>
  </si>
  <si>
    <t>REDWOOD FALLS</t>
  </si>
  <si>
    <t>THE TACO HOUSE</t>
  </si>
  <si>
    <t>1614 TERRACE PARK BLVD</t>
  </si>
  <si>
    <t>MILFORD</t>
  </si>
  <si>
    <t>RUTH'S CAFE</t>
  </si>
  <si>
    <t>133 S WASHINGTON ST</t>
  </si>
  <si>
    <t>99-CHERRY CREEK GRILLE</t>
  </si>
  <si>
    <t>3104 EAST 26TH ST</t>
  </si>
  <si>
    <t>SOUTHERN COMFORT FOOD &amp;SP</t>
  </si>
  <si>
    <t>117 MAIN STREET</t>
  </si>
  <si>
    <t>CUMBERLAND</t>
  </si>
  <si>
    <t>50843</t>
  </si>
  <si>
    <t>ECONO LODGE - SPENCER</t>
  </si>
  <si>
    <t>102 11TH ST SW PLAZA DR</t>
  </si>
  <si>
    <t>SPENCER</t>
  </si>
  <si>
    <t>THE RITE CHOICE COOKING</t>
  </si>
  <si>
    <t>122 E MAIN ST</t>
  </si>
  <si>
    <t>CHEROKEE</t>
  </si>
  <si>
    <t>THE JUICE BAR &amp; GRILL</t>
  </si>
  <si>
    <t>351 MAIN STREET</t>
  </si>
  <si>
    <t>SIMPLY SWEET CHEESECAKES</t>
  </si>
  <si>
    <t>206 S HWY 86</t>
  </si>
  <si>
    <t>HOLIDAY INN EXPRESS</t>
  </si>
  <si>
    <t>300 S 31ST ST</t>
  </si>
  <si>
    <t>BEAN &amp; VINE</t>
  </si>
  <si>
    <t>803 W PIPESTONE AVE</t>
  </si>
  <si>
    <t>COFFEE KING/ISLAND OASIS</t>
  </si>
  <si>
    <t>316 FLOYD BLVD</t>
  </si>
  <si>
    <t>OK CAFE</t>
  </si>
  <si>
    <t>406 S MAIN ST</t>
  </si>
  <si>
    <t>BUFFALO LAKE</t>
  </si>
  <si>
    <t>STONEHOUSE SUPPER CLUB</t>
  </si>
  <si>
    <t>123 W MAIN ST</t>
  </si>
  <si>
    <t>PIPESTONE</t>
  </si>
  <si>
    <t>56164</t>
  </si>
  <si>
    <t>99-FIRESIDE RESTAURANT</t>
  </si>
  <si>
    <t>2515 E 6TH ST</t>
  </si>
  <si>
    <t>THE GAMBLER</t>
  </si>
  <si>
    <t>303 W MAIN ST</t>
  </si>
  <si>
    <t>ICKEY NICKEL</t>
  </si>
  <si>
    <t>4700 41ST STREET</t>
  </si>
  <si>
    <t>LAKE CITY DRIVE IN</t>
  </si>
  <si>
    <t>808 W MAIN ST</t>
  </si>
  <si>
    <t>212 CASINO, INC.</t>
  </si>
  <si>
    <t>1317 5TH AVE SE</t>
  </si>
  <si>
    <t>CAST IRON CAFE</t>
  </si>
  <si>
    <t>404 BROAD AVENUE</t>
  </si>
  <si>
    <t>STANTON</t>
  </si>
  <si>
    <t>51573</t>
  </si>
  <si>
    <t>JOSHUA'S COFFEE HOUSE</t>
  </si>
  <si>
    <t>101 N MAIN AVE UNIT A</t>
  </si>
  <si>
    <t>PHNOM PENH</t>
  </si>
  <si>
    <t>1010 N MINNESOTA AVE</t>
  </si>
  <si>
    <t>JD'S HANGOUT LLC</t>
  </si>
  <si>
    <t>405 MAIN ST</t>
  </si>
  <si>
    <t>ALLEY CAT BOWLING INC</t>
  </si>
  <si>
    <t>620 US HWY 75</t>
  </si>
  <si>
    <t>ORTONVILLE</t>
  </si>
  <si>
    <t>56278</t>
  </si>
  <si>
    <t>RATH INN</t>
  </si>
  <si>
    <t>3155 JOLIET AVENUE</t>
  </si>
  <si>
    <t>SAVANNAH OAKS GOLF CLUB</t>
  </si>
  <si>
    <t>100 SAVANNAH HEIGHTS BLVD</t>
  </si>
  <si>
    <t>LYND</t>
  </si>
  <si>
    <t>SCHLESWIG COMM. GOLF</t>
  </si>
  <si>
    <t>9040 VALLEY VIEW DRIVE</t>
  </si>
  <si>
    <t>SCHLESWIG</t>
  </si>
  <si>
    <t>51461</t>
  </si>
  <si>
    <t>BONANZA BAR</t>
  </si>
  <si>
    <t>109 HWY 77</t>
  </si>
  <si>
    <t>HOMER</t>
  </si>
  <si>
    <t>68030</t>
  </si>
  <si>
    <t>99-CURRIE LANES</t>
  </si>
  <si>
    <t>141ST MILL ST</t>
  </si>
  <si>
    <t>CURRIE</t>
  </si>
  <si>
    <t>EL VALLE TIENDA Y RESTAUR</t>
  </si>
  <si>
    <t>427 SUMNER AVE</t>
  </si>
  <si>
    <t>HUMBOLDT</t>
  </si>
  <si>
    <t>50548</t>
  </si>
  <si>
    <t>J &amp; M CAFE</t>
  </si>
  <si>
    <t>306 MAIN AVE S</t>
  </si>
  <si>
    <t>LAKE PRESTON</t>
  </si>
  <si>
    <t>57249</t>
  </si>
  <si>
    <t>DAGWOOD'S SUBS</t>
  </si>
  <si>
    <t>180 4TH STREET NE STE 1</t>
  </si>
  <si>
    <t>PEG'S PLACE</t>
  </si>
  <si>
    <t>135 N MILES ST</t>
  </si>
  <si>
    <t>COWBELL CAFE</t>
  </si>
  <si>
    <t>1012 S MAIN</t>
  </si>
  <si>
    <t>RED BARN THEATER</t>
  </si>
  <si>
    <t>105 S MAIN ST</t>
  </si>
  <si>
    <t>HENDRICKS</t>
  </si>
  <si>
    <t>56136</t>
  </si>
  <si>
    <t>DENISON  INN  SUITES</t>
  </si>
  <si>
    <t>315 CHAMBERLIN DR</t>
  </si>
  <si>
    <t>DENISON</t>
  </si>
  <si>
    <t>51442</t>
  </si>
  <si>
    <t>DAYS INN - OACOMA</t>
  </si>
  <si>
    <t>400 E HWY 16</t>
  </si>
  <si>
    <t>OACOMA</t>
  </si>
  <si>
    <t>57365</t>
  </si>
  <si>
    <t>WELSH'S PIZZA</t>
  </si>
  <si>
    <t>212 MAIN ST</t>
  </si>
  <si>
    <t>KNOTTS CORNER BAR &amp; GRILL</t>
  </si>
  <si>
    <t>111 MAIN ST</t>
  </si>
  <si>
    <t>LUCAN</t>
  </si>
  <si>
    <t>BOTTOMS UP</t>
  </si>
  <si>
    <t>25991 482ND AVE</t>
  </si>
  <si>
    <t>CORSON</t>
  </si>
  <si>
    <t>57005</t>
  </si>
  <si>
    <t>SWEET TREATS AND MORE</t>
  </si>
  <si>
    <t>805 N MALLARD PL</t>
  </si>
  <si>
    <t>CATFISH LAKE RESTAURANT</t>
  </si>
  <si>
    <t>1006 CUNNINGHAM RD</t>
  </si>
  <si>
    <t>BELLEVUE</t>
  </si>
  <si>
    <t>68005</t>
  </si>
  <si>
    <t>JUNKYARD INC.</t>
  </si>
  <si>
    <t>1116 STARVIEW DR</t>
  </si>
  <si>
    <t>RODEWAY INN</t>
  </si>
  <si>
    <t>103 SERGEANT SQUARE DR</t>
  </si>
  <si>
    <t>SUPER 8 MOTEL</t>
  </si>
  <si>
    <t>209 11TH ST SW</t>
  </si>
  <si>
    <t>ROLLING HILLS GOLF CLUB</t>
  </si>
  <si>
    <t>1360 280TH AVE</t>
  </si>
  <si>
    <t>WESTBROOK</t>
  </si>
  <si>
    <t>56183</t>
  </si>
  <si>
    <t>FALLS PARK OVERLOOK CAFE</t>
  </si>
  <si>
    <t>825 N WEBER</t>
  </si>
  <si>
    <t>EL SOL DE MEXICO</t>
  </si>
  <si>
    <t>607 SUMNER AVE</t>
  </si>
  <si>
    <t>JAKES LOUNGE</t>
  </si>
  <si>
    <t>112 EAST MAIN STREET</t>
  </si>
  <si>
    <t>99-MA'S CAFE &amp; BAKERY</t>
  </si>
  <si>
    <t>304 E 4TH ST</t>
  </si>
  <si>
    <t>COLTON</t>
  </si>
  <si>
    <t>57018</t>
  </si>
  <si>
    <t>WHEELHOUSE BAR &amp; GRILL</t>
  </si>
  <si>
    <t>4501 SOUTHERN HILLS DR</t>
  </si>
  <si>
    <t>AMERICAN LEGION POST 69</t>
  </si>
  <si>
    <t>60 60TH AVE</t>
  </si>
  <si>
    <t>GRANITE FALLS</t>
  </si>
  <si>
    <t>56241</t>
  </si>
  <si>
    <t>PACIFIC RIM NOODLES</t>
  </si>
  <si>
    <t>205 ARBOR COURT</t>
  </si>
  <si>
    <t>GRANDMA D'S KITCHEN</t>
  </si>
  <si>
    <t>631 DAVID DR</t>
  </si>
  <si>
    <t>PUKWANA</t>
  </si>
  <si>
    <t>57370</t>
  </si>
  <si>
    <t>BILLY BOY DR</t>
  </si>
  <si>
    <t>2328 RIVERSIDE BLVD</t>
  </si>
  <si>
    <t>BOOK'EM DANO'S</t>
  </si>
  <si>
    <t>33 SOUTH MAIN STREET</t>
  </si>
  <si>
    <t>DONUT HAVEN</t>
  </si>
  <si>
    <t>13807 P. STREET</t>
  </si>
  <si>
    <t>ICKEY NICKEL BAR &amp; GRILL</t>
  </si>
  <si>
    <t>4700 41ST ST.</t>
  </si>
  <si>
    <t>LA HACIENDA</t>
  </si>
  <si>
    <t>1100 STEUBEN ST</t>
  </si>
  <si>
    <t>99-EMBER'Z</t>
  </si>
  <si>
    <t>1021 DIAMOND CIR</t>
  </si>
  <si>
    <t>NR JITTERS</t>
  </si>
  <si>
    <t>306 VIRGINIA ST</t>
  </si>
  <si>
    <t>ECONOLODGE - SERGEANT BLU</t>
  </si>
  <si>
    <t>103 SERGEANT SQUARE</t>
  </si>
  <si>
    <t>THE CORNER DINER</t>
  </si>
  <si>
    <t>1OO N COMMERCIAL ST</t>
  </si>
  <si>
    <t>CLARK</t>
  </si>
  <si>
    <t>57225</t>
  </si>
  <si>
    <t>99-TARA'S DINER</t>
  </si>
  <si>
    <t>103 S MAIN ST</t>
  </si>
  <si>
    <t>WHITE LAKE</t>
  </si>
  <si>
    <t>57383</t>
  </si>
  <si>
    <t>GRAND THEATRE</t>
  </si>
  <si>
    <t>623 W 3RD ST</t>
  </si>
  <si>
    <t>BOYD COMMUNITY CAFE</t>
  </si>
  <si>
    <t>127 THIRD ST</t>
  </si>
  <si>
    <t>BOYD</t>
  </si>
  <si>
    <t>56218</t>
  </si>
  <si>
    <t>V &amp; A CONCESSIONS</t>
  </si>
  <si>
    <t>1913 70TH AVE</t>
  </si>
  <si>
    <t>JASPER</t>
  </si>
  <si>
    <t>56144</t>
  </si>
  <si>
    <t>LAKE HOUSE</t>
  </si>
  <si>
    <t>2700 N MAIN ST</t>
  </si>
  <si>
    <t>ARCHIE'S WAESIDE</t>
  </si>
  <si>
    <t>224 4TH ST AVE NE</t>
  </si>
  <si>
    <t>JOHN'S CATERING</t>
  </si>
  <si>
    <t>528 E. 18TH STREET</t>
  </si>
  <si>
    <t>COTTAGE CAFE</t>
  </si>
  <si>
    <t>462 MAIN</t>
  </si>
  <si>
    <t>BIG STONE CITY</t>
  </si>
  <si>
    <t>57216</t>
  </si>
  <si>
    <t>ROYAL RIVER CASINO *PO#*</t>
  </si>
  <si>
    <t>607 S. VETERANS ST.</t>
  </si>
  <si>
    <t>PIZZA KING--OMAHA</t>
  </si>
  <si>
    <t>1101 NO BROADWAY</t>
  </si>
  <si>
    <t>CASTLE BAR</t>
  </si>
  <si>
    <t>409 MAIN ST</t>
  </si>
  <si>
    <t>NEWCASTLE</t>
  </si>
  <si>
    <t>68757</t>
  </si>
  <si>
    <t>TACOS LA JUANITA</t>
  </si>
  <si>
    <t>785 HAWKEYE AVE SW</t>
  </si>
  <si>
    <t>KLK CONCESSIONS</t>
  </si>
  <si>
    <t>44627 271ST ST</t>
  </si>
  <si>
    <t>MARION</t>
  </si>
  <si>
    <t>57043</t>
  </si>
  <si>
    <t>KINGSBURY CLUB HOUSE</t>
  </si>
  <si>
    <t>611 7TH ST SW</t>
  </si>
  <si>
    <t>CLUCKIN' GOOD CHICKEN &amp; B</t>
  </si>
  <si>
    <t>3607 E 10TH ST</t>
  </si>
  <si>
    <t>SANDY'S CAFE</t>
  </si>
  <si>
    <t>1610 MINNESOTA AVE</t>
  </si>
  <si>
    <t>BENSON</t>
  </si>
  <si>
    <t>56215</t>
  </si>
  <si>
    <t>EL TACO RIENDO</t>
  </si>
  <si>
    <t>1101 SOUTH COMMERCIAL</t>
  </si>
  <si>
    <t>EAGLE GROVE</t>
  </si>
  <si>
    <t>50533</t>
  </si>
  <si>
    <t>ROSIE'S CAFE</t>
  </si>
  <si>
    <t>2200 W MADISON ST</t>
  </si>
  <si>
    <t>COMFORT SUITES</t>
  </si>
  <si>
    <t>3208 S CAROLYN AVE</t>
  </si>
  <si>
    <t>IRON HORSE</t>
  </si>
  <si>
    <t>1106 SOUTH MAIN</t>
  </si>
  <si>
    <t>EMERSON</t>
  </si>
  <si>
    <t>68733</t>
  </si>
  <si>
    <t>MONROE BAR</t>
  </si>
  <si>
    <t>CORNERSTONE COFFEEHOUSE &amp;</t>
  </si>
  <si>
    <t>123 E 3RD AVE</t>
  </si>
  <si>
    <t>TIMBER TAVERN</t>
  </si>
  <si>
    <t>155 N TYLER ST</t>
  </si>
  <si>
    <t>TYLER</t>
  </si>
  <si>
    <t>LIGHT FOR THE LOST</t>
  </si>
  <si>
    <t>4200 E PRODUCER LANE</t>
  </si>
  <si>
    <t>FISH &amp; CHIPS</t>
  </si>
  <si>
    <t>112 W MAIN ST</t>
  </si>
  <si>
    <t>GRUMPY OLD MEN SOFTBALL</t>
  </si>
  <si>
    <t>205 1ST AVE NE</t>
  </si>
  <si>
    <t>SUZIE B'S CAFE &amp; CATERING</t>
  </si>
  <si>
    <t>201 W MAIN ST</t>
  </si>
  <si>
    <t>CANISTOTA</t>
  </si>
  <si>
    <t>57012</t>
  </si>
  <si>
    <t>THE CHROME SPUR</t>
  </si>
  <si>
    <t>105 2ND STREET</t>
  </si>
  <si>
    <t>DAYS INN - SPENCER</t>
  </si>
  <si>
    <t>10 SE 11TH STREET</t>
  </si>
  <si>
    <t>MR P'S PIZZA &amp; SPORT GRIL</t>
  </si>
  <si>
    <t>630 8 TH. AVENUE S.W.</t>
  </si>
  <si>
    <t>WHISTLESTOP-CASINO DT</t>
  </si>
  <si>
    <t>200 RIVER DR</t>
  </si>
  <si>
    <t>CAROLINA CATERING</t>
  </si>
  <si>
    <t>4200 E PRODUCER LN</t>
  </si>
  <si>
    <t>GOLDBERG'S BAR &amp; GRILL</t>
  </si>
  <si>
    <t>2936 S. 132ND STREET</t>
  </si>
  <si>
    <t>CHURDAN BAR &amp; GRILL</t>
  </si>
  <si>
    <t>419 SAND ST</t>
  </si>
  <si>
    <t>CHURDAN</t>
  </si>
  <si>
    <t>50050</t>
  </si>
  <si>
    <t>NIELSENS LANES</t>
  </si>
  <si>
    <t>202 S HWY 5</t>
  </si>
  <si>
    <t>IVANHOE</t>
  </si>
  <si>
    <t>56142</t>
  </si>
  <si>
    <t>REMSEN GOLF COURSE</t>
  </si>
  <si>
    <t>506 W 5TH STREET</t>
  </si>
  <si>
    <t>GRANITE BOWL</t>
  </si>
  <si>
    <t>130 7TH AVENUE</t>
  </si>
  <si>
    <t>99-FERGIE'S PUB &amp; BARRIST</t>
  </si>
  <si>
    <t>311 S. MAIN</t>
  </si>
  <si>
    <t>MCFLY'S TAVERN</t>
  </si>
  <si>
    <t>4503 CENTER STREET</t>
  </si>
  <si>
    <t>68106</t>
  </si>
  <si>
    <t>TASTE OF COUNTRY CATERING</t>
  </si>
  <si>
    <t>2516 S HAWTHORNE AVE</t>
  </si>
  <si>
    <t>ROYAL BBQ LLC</t>
  </si>
  <si>
    <t>24900 SD HWY 25</t>
  </si>
  <si>
    <t>57374</t>
  </si>
  <si>
    <t>LONE PINE BAR &amp; GRILL</t>
  </si>
  <si>
    <t>2647 10TH AVE SE</t>
  </si>
  <si>
    <t>99-PRAIRIE SMOKEHOUSE</t>
  </si>
  <si>
    <t>RUSTY DUCK BAR &amp; GRILL</t>
  </si>
  <si>
    <t>539 CHESTNUT ST</t>
  </si>
  <si>
    <t>SO HO KITCHEN &amp; BAR</t>
  </si>
  <si>
    <t>1024 4TH STREET</t>
  </si>
  <si>
    <t>ROCK RIVER GOLF &amp; COUNTRY</t>
  </si>
  <si>
    <t>1344 HARDING AVE</t>
  </si>
  <si>
    <t>SPORTSMAN BAR &amp; GRILL-CLA</t>
  </si>
  <si>
    <t>102 1ST AVE E</t>
  </si>
  <si>
    <t>MARSHALL AMATEUR HOCKEY A</t>
  </si>
  <si>
    <t>512 FAIRGROUNDS RD</t>
  </si>
  <si>
    <t>DEGRAFF MUNICIPAL LIQUOR</t>
  </si>
  <si>
    <t>421 ATLANTIC AVE</t>
  </si>
  <si>
    <t>DE GRAFF</t>
  </si>
  <si>
    <t>56271</t>
  </si>
  <si>
    <t>TORMANEN'S BAR &amp; GRILL</t>
  </si>
  <si>
    <t>310 EST MAIN</t>
  </si>
  <si>
    <t>BADGER</t>
  </si>
  <si>
    <t>57214</t>
  </si>
  <si>
    <t>SPEZIA</t>
  </si>
  <si>
    <t>4801 S LOUISE AVE</t>
  </si>
  <si>
    <t>ROUND LAKE VINEYARD AND W</t>
  </si>
  <si>
    <t>30124 STATE HIGHWAY 264</t>
  </si>
  <si>
    <t>ROUND LAKE</t>
  </si>
  <si>
    <t>56167</t>
  </si>
  <si>
    <t>ANTLERS PUB N GRILL LLC</t>
  </si>
  <si>
    <t>120 W FRONT ST</t>
  </si>
  <si>
    <t>CLARE</t>
  </si>
  <si>
    <t>50524</t>
  </si>
  <si>
    <t>IDA GROVE HOSP DBA SUPER8</t>
  </si>
  <si>
    <t>90 EAST HWY 58</t>
  </si>
  <si>
    <t>IDA GROVE</t>
  </si>
  <si>
    <t>MIDWAY DELIGHTS</t>
  </si>
  <si>
    <t>4400 SERGEANT ROAD</t>
  </si>
  <si>
    <t>SPRING CREEK COUNTRY CLUB</t>
  </si>
  <si>
    <t>27122 480TH AVE</t>
  </si>
  <si>
    <t>HARRISBURG</t>
  </si>
  <si>
    <t>TEEZERS LOUNGE/LTZ LLC</t>
  </si>
  <si>
    <t>123 SW 1ST ST</t>
  </si>
  <si>
    <t>99-KELLY'S KOFFEE &amp; GRILL</t>
  </si>
  <si>
    <t>101 8TH AVE NE</t>
  </si>
  <si>
    <t>BUFFALO WILD WINGS</t>
  </si>
  <si>
    <t>640 S HIGHLINE PL</t>
  </si>
  <si>
    <t>BIG MIKE'S BAR &amp; GRILL</t>
  </si>
  <si>
    <t>375 GARFIELD AVE</t>
  </si>
  <si>
    <t>FARNHAMVILLE</t>
  </si>
  <si>
    <t>50538</t>
  </si>
  <si>
    <t>PAAVA'S PIZZA &amp; GRILLE</t>
  </si>
  <si>
    <t>2001 N CAREER AVE</t>
  </si>
  <si>
    <t>99-CHAR'D RESTAURANT &amp; LO</t>
  </si>
  <si>
    <t>1021 S DIAMOND CIRCLE</t>
  </si>
  <si>
    <t>ETHEL'S PUB N GRUB</t>
  </si>
  <si>
    <t>410 MAIN STREET</t>
  </si>
  <si>
    <t>DUNCOMBE</t>
  </si>
  <si>
    <t>50532</t>
  </si>
  <si>
    <t>EAGLE RUN WEST GOLF PRTNR</t>
  </si>
  <si>
    <t>DBA CHAMPIONS RUN</t>
  </si>
  <si>
    <t>68164</t>
  </si>
  <si>
    <t>BRIAN'S SUPPER CLUB</t>
  </si>
  <si>
    <t>118 US HWY 59</t>
  </si>
  <si>
    <t>BEYER CATERING</t>
  </si>
  <si>
    <t>3513 KINGBIRD AVENUE</t>
  </si>
  <si>
    <t>BOYDEN</t>
  </si>
  <si>
    <t>51234</t>
  </si>
  <si>
    <t>ZESTO</t>
  </si>
  <si>
    <t>213 W. CAPITOL AVE.</t>
  </si>
  <si>
    <t>PIERRE</t>
  </si>
  <si>
    <t>57501</t>
  </si>
  <si>
    <t>THUNDER ROAD</t>
  </si>
  <si>
    <t>201 N KIWANIS AVE</t>
  </si>
  <si>
    <t>J &amp; J CONCESSIONS</t>
  </si>
  <si>
    <t>27246 419TH AVE</t>
  </si>
  <si>
    <t>PARKSTON</t>
  </si>
  <si>
    <t>57366</t>
  </si>
  <si>
    <t>POP'S PLACE</t>
  </si>
  <si>
    <t>3520 F ST</t>
  </si>
  <si>
    <t>68107</t>
  </si>
  <si>
    <t>99-BEN LEE'S BROS CAFE</t>
  </si>
  <si>
    <t>212 10TH ST</t>
  </si>
  <si>
    <t>PRIMETIMES LLC</t>
  </si>
  <si>
    <t>1214 1ST AVE SOUTH</t>
  </si>
  <si>
    <t>TOM &amp; TIFF'S</t>
  </si>
  <si>
    <t>607 S HAZEL</t>
  </si>
  <si>
    <t>HAWKEYE BAR &amp; GRILL-MAPLE</t>
  </si>
  <si>
    <t>110 NORTH 4TH STREET</t>
  </si>
  <si>
    <t>MAPLETON</t>
  </si>
  <si>
    <t>51034</t>
  </si>
  <si>
    <t>PANTRY CAFE &amp; CATERING</t>
  </si>
  <si>
    <t>217 6TH AVE</t>
  </si>
  <si>
    <t>HAMPTON INN &amp; SUITES</t>
  </si>
  <si>
    <t>3701 AVERA DR</t>
  </si>
  <si>
    <t>99 THE CUTTING BOARD</t>
  </si>
  <si>
    <t>601 MAIN</t>
  </si>
  <si>
    <t>GRISWOLD</t>
  </si>
  <si>
    <t>51535</t>
  </si>
  <si>
    <t>ANNIE'S</t>
  </si>
  <si>
    <t>525 N MAIN AVE</t>
  </si>
  <si>
    <t>TOWN &amp; COUNTRY GOLF CLUB</t>
  </si>
  <si>
    <t>502 N HWY 59</t>
  </si>
  <si>
    <t>99-TJ KERNER'S TAVERN</t>
  </si>
  <si>
    <t>205 N MAIN ST</t>
  </si>
  <si>
    <t>PARKER</t>
  </si>
  <si>
    <t>57053</t>
  </si>
  <si>
    <t>PAPA RON'S</t>
  </si>
  <si>
    <t>408 HILL ST</t>
  </si>
  <si>
    <t>YALE</t>
  </si>
  <si>
    <t>57386</t>
  </si>
  <si>
    <t>RUSTY'S CORNER CAFE</t>
  </si>
  <si>
    <t>100 N MAIN ST</t>
  </si>
  <si>
    <t>TAUNTON</t>
  </si>
  <si>
    <t>56291</t>
  </si>
  <si>
    <t>COOKIE JAR EATERY</t>
  </si>
  <si>
    <t>230 S PHILLIPS STE 101</t>
  </si>
  <si>
    <t>Z'S GRUB &amp; PUB</t>
  </si>
  <si>
    <t>331 2ND AVE W</t>
  </si>
  <si>
    <t>ECHO</t>
  </si>
  <si>
    <t>56237</t>
  </si>
  <si>
    <t>MERIDIAN CORNER</t>
  </si>
  <si>
    <t>43915 US HWY 18</t>
  </si>
  <si>
    <t>99 SMOKIN T'S CATERING</t>
  </si>
  <si>
    <t>117 E 2ND STREET</t>
  </si>
  <si>
    <t>LAUREL</t>
  </si>
  <si>
    <t>68745</t>
  </si>
  <si>
    <t>HOLIDAY INN EMPLOYEES</t>
  </si>
  <si>
    <t>100 W 8TH ST</t>
  </si>
  <si>
    <t>MAJESTIC HILLS GOLF COURS</t>
  </si>
  <si>
    <t>2505 BOULDERS DRIVE</t>
  </si>
  <si>
    <t>DPS INC DANNY'S SPORTS SP</t>
  </si>
  <si>
    <t>1013 S 2ND</t>
  </si>
  <si>
    <t>MISTY'S INC</t>
  </si>
  <si>
    <t>140 MAIN ST</t>
  </si>
  <si>
    <t>MOVILLE</t>
  </si>
  <si>
    <t>51039</t>
  </si>
  <si>
    <t>INSPRIRATION HILLS CAMP A</t>
  </si>
  <si>
    <t>1242 280TH ST</t>
  </si>
  <si>
    <t>PAPA WOODY'S WOOD FIRED P</t>
  </si>
  <si>
    <t>1101 S SHERMAN AVE</t>
  </si>
  <si>
    <t>99-BAYMONT INN</t>
  </si>
  <si>
    <t>3200 MEADOW AV</t>
  </si>
  <si>
    <t>KABAB KING &amp; FARES SERVIC</t>
  </si>
  <si>
    <t>7333 W 61ST STREET</t>
  </si>
  <si>
    <t>KATCH-A-KUP</t>
  </si>
  <si>
    <t>3900 DAKOTA AVENUE</t>
  </si>
  <si>
    <t>LAST CHANCE</t>
  </si>
  <si>
    <t>1821 18TH ST</t>
  </si>
  <si>
    <t>SPIRIT LAKE</t>
  </si>
  <si>
    <t>51360</t>
  </si>
  <si>
    <t>MONTROSE BOOSTER CLUB</t>
  </si>
  <si>
    <t>309 SCHURCH AVE</t>
  </si>
  <si>
    <t>MONTROSE</t>
  </si>
  <si>
    <t>57048</t>
  </si>
  <si>
    <t>DOCTORS DENN</t>
  </si>
  <si>
    <t>103 PINE ST</t>
  </si>
  <si>
    <t>BRONSON</t>
  </si>
  <si>
    <t>51007</t>
  </si>
  <si>
    <t>99-SUBURBAN LANES</t>
  </si>
  <si>
    <t>2621 S SPRING AVE</t>
  </si>
  <si>
    <t>PHAN FOOD LLC</t>
  </si>
  <si>
    <t>24911 478TH AVE</t>
  </si>
  <si>
    <t>PAVE LLC</t>
  </si>
  <si>
    <t>130 S PHILLIPS AVE</t>
  </si>
  <si>
    <t>ELMWOOD GOLF COURSE</t>
  </si>
  <si>
    <t>2604 W RUSSELL ST</t>
  </si>
  <si>
    <t>MINERVAS -L</t>
  </si>
  <si>
    <t>1405 HWY 71 N.</t>
  </si>
  <si>
    <t>OKOBOJI</t>
  </si>
  <si>
    <t>51355</t>
  </si>
  <si>
    <t>TEEZERS BAR</t>
  </si>
  <si>
    <t>FALLS OVERLOOK CAFE</t>
  </si>
  <si>
    <t>825 WEBER AVENUE</t>
  </si>
  <si>
    <t>STEVE'S LOG CABIN</t>
  </si>
  <si>
    <t>NINE BAR &amp; NIGHTCLUB</t>
  </si>
  <si>
    <t>303 MAIN AVE</t>
  </si>
  <si>
    <t>99-THE CHARGER CAFE</t>
  </si>
  <si>
    <t>203 MAIN ST</t>
  </si>
  <si>
    <t>HAYTI</t>
  </si>
  <si>
    <t>57241</t>
  </si>
  <si>
    <t>ROKS FOODS</t>
  </si>
  <si>
    <t>601 COLFEX STREET</t>
  </si>
  <si>
    <t>TOLSMA'S COVE</t>
  </si>
  <si>
    <t>105 MAIN ST</t>
  </si>
  <si>
    <t>AVON</t>
  </si>
  <si>
    <t>TURTLE CREEK SALOON</t>
  </si>
  <si>
    <t>121 NORTH BROADWAY</t>
  </si>
  <si>
    <t>MILWAUKEE WEINER HOUSE LC</t>
  </si>
  <si>
    <t>301 DOUGLAS STREET</t>
  </si>
  <si>
    <t>BACK SEAT DINER &amp; DRIVEIN</t>
  </si>
  <si>
    <t>504 13 TH. STREET NORTH</t>
  </si>
  <si>
    <t>TOWNHOUSE PIZZA-NO SIOUX</t>
  </si>
  <si>
    <t>100 MARIE AVE</t>
  </si>
  <si>
    <t>MIDWEST DELI</t>
  </si>
  <si>
    <t>105 E 2ND STREET</t>
  </si>
  <si>
    <t>HOLSTEIN</t>
  </si>
  <si>
    <t>51025</t>
  </si>
  <si>
    <t>99 BUCKSAW II</t>
  </si>
  <si>
    <t>408 MAIN STREET</t>
  </si>
  <si>
    <t>51243</t>
  </si>
  <si>
    <t>TRACY AQUATIC CENTER</t>
  </si>
  <si>
    <t>283 ELM ST</t>
  </si>
  <si>
    <t>TRACY</t>
  </si>
  <si>
    <t>LOESS MOOSE BAR &amp; GRILL</t>
  </si>
  <si>
    <t>209 E ERIE ST</t>
  </si>
  <si>
    <t>1429 ROADHOUSE</t>
  </si>
  <si>
    <t>KNIGHTS INN</t>
  </si>
  <si>
    <t>6166 HARBOR DRIVE</t>
  </si>
  <si>
    <t>51111</t>
  </si>
  <si>
    <t>CUP O' JOY</t>
  </si>
  <si>
    <t>319 DAKOTA DUNES BLVD.</t>
  </si>
  <si>
    <t>DAKOTA DUNES</t>
  </si>
  <si>
    <t>MJ'S ROOT BEER</t>
  </si>
  <si>
    <t>403 1ST ST NW</t>
  </si>
  <si>
    <t>99-SKEETERS BAR &amp; GRILL L</t>
  </si>
  <si>
    <t>212 S DUMONT AVE</t>
  </si>
  <si>
    <t>WOONSOCKET</t>
  </si>
  <si>
    <t>COUNTRYSIDE GOLF COURSE</t>
  </si>
  <si>
    <t>3508 160TH AVE</t>
  </si>
  <si>
    <t>MILES INN BOJI BAY</t>
  </si>
  <si>
    <t>264 NO HIWAY 71</t>
  </si>
  <si>
    <t>HIBIR ETHIOPIA REST &amp; BAR</t>
  </si>
  <si>
    <t>212 N WEST AVE</t>
  </si>
  <si>
    <t>TOMACELLI'S PIZZA</t>
  </si>
  <si>
    <t>2909 E 10TH ST</t>
  </si>
  <si>
    <t>TAPHOUSE</t>
  </si>
  <si>
    <t>2321 ALBION AVE</t>
  </si>
  <si>
    <t>FAIRMONT</t>
  </si>
  <si>
    <t>56031</t>
  </si>
  <si>
    <t>OAK TREE LODGE *TX*</t>
  </si>
  <si>
    <t>42563 168TH ST</t>
  </si>
  <si>
    <t>THE MASTER'S</t>
  </si>
  <si>
    <t>809 E LINCOLN AVE</t>
  </si>
  <si>
    <t>OLIVIA</t>
  </si>
  <si>
    <t>DIANE'S CAFE &amp; CATERING</t>
  </si>
  <si>
    <t>117 BROADWAY AVE</t>
  </si>
  <si>
    <t>MOWNTOWN STEAKHOUSE CAFE</t>
  </si>
  <si>
    <t>220 E. MAIN STREET</t>
  </si>
  <si>
    <t>DAIRY BAR</t>
  </si>
  <si>
    <t>631 E US HWY 18</t>
  </si>
  <si>
    <t>SPORTS PAGE BAR &amp; GRILL</t>
  </si>
  <si>
    <t>2707 N 15TH ST</t>
  </si>
  <si>
    <t>JERICO'S</t>
  </si>
  <si>
    <t>11732 W DODGE RD</t>
  </si>
  <si>
    <t>68154</t>
  </si>
  <si>
    <t>PASQUALE'S RESTAURANT</t>
  </si>
  <si>
    <t>607 13TH ST N</t>
  </si>
  <si>
    <t>99 BEV'S ON THE RIVER</t>
  </si>
  <si>
    <t>1110 LARSEN PARK RD</t>
  </si>
  <si>
    <t>PUK-U-BAR &amp; GRILL</t>
  </si>
  <si>
    <t>N MAIN</t>
  </si>
  <si>
    <t>ARLENE'S SUNNY SIDE CAFE</t>
  </si>
  <si>
    <t>111 IOWA ST</t>
  </si>
  <si>
    <t>B &amp; B CLASSIC DOGS</t>
  </si>
  <si>
    <t>6610 S 168TH ST</t>
  </si>
  <si>
    <t>68135</t>
  </si>
  <si>
    <t>JERRY'S HILLTOP LLP</t>
  </si>
  <si>
    <t>86420 HWY 81</t>
  </si>
  <si>
    <t>RANDOLPH</t>
  </si>
  <si>
    <t>68771</t>
  </si>
  <si>
    <t>99-NICKEL SPOT</t>
  </si>
  <si>
    <t>2918 S MINNESOTA AVE</t>
  </si>
  <si>
    <t>WAY NORTH RESTAURANT &amp; LO</t>
  </si>
  <si>
    <t>2800 COUNTY RD G</t>
  </si>
  <si>
    <t>TEKAMAH</t>
  </si>
  <si>
    <t>68061</t>
  </si>
  <si>
    <t>HOWARD GOLF COURSE</t>
  </si>
  <si>
    <t>REDDERS</t>
  </si>
  <si>
    <t>801 FAITH AVE</t>
  </si>
  <si>
    <t>MILLERS ON THE MAIN BAR &amp;</t>
  </si>
  <si>
    <t>DANUBE</t>
  </si>
  <si>
    <t>56230</t>
  </si>
  <si>
    <t>CRISPY EGGROLL</t>
  </si>
  <si>
    <t>1118 2ND ST</t>
  </si>
  <si>
    <t>SAM'S GYRO 3</t>
  </si>
  <si>
    <t>632 N SADDLE CREEK RD</t>
  </si>
  <si>
    <t>68132</t>
  </si>
  <si>
    <t>VANBULLY BAR &amp; GRILL</t>
  </si>
  <si>
    <t>390 PARNELL ST</t>
  </si>
  <si>
    <t>IONA</t>
  </si>
  <si>
    <t>56141</t>
  </si>
  <si>
    <t>LAKE TIME BAR &amp; GRILL</t>
  </si>
  <si>
    <t>26176 451ST AVE</t>
  </si>
  <si>
    <t>LAM'S VIETNAMESE RESTAURA</t>
  </si>
  <si>
    <t>1600 E RICE ST</t>
  </si>
  <si>
    <t>99-QUALITY INN</t>
  </si>
  <si>
    <t>1221 S BURR ST</t>
  </si>
  <si>
    <t>NINE &amp; DINE</t>
  </si>
  <si>
    <t>1127 270TH STREET</t>
  </si>
  <si>
    <t>LUWE'S CATERING</t>
  </si>
  <si>
    <t>2480 HWY 20</t>
  </si>
  <si>
    <t>LAWTON</t>
  </si>
  <si>
    <t>51030</t>
  </si>
  <si>
    <t>EUREST DINING</t>
  </si>
  <si>
    <t>3201 N 4TH AVE</t>
  </si>
  <si>
    <t>JOJO'S COFFEE</t>
  </si>
  <si>
    <t>119 MAIN ST.</t>
  </si>
  <si>
    <t>KINGSLEY</t>
  </si>
  <si>
    <t>51028</t>
  </si>
  <si>
    <t>RICHIES CHICKEN &amp; HAMB</t>
  </si>
  <si>
    <t>3528 CENTER STREET</t>
  </si>
  <si>
    <t>THE HISTORIC CALUMET INN</t>
  </si>
  <si>
    <t>104 W MAIN ST</t>
  </si>
  <si>
    <t>PUB &amp; PATIO</t>
  </si>
  <si>
    <t>225 N MINNESOTA AVE</t>
  </si>
  <si>
    <t>THE LOUNGE WATERTOWN</t>
  </si>
  <si>
    <t>21 N MAPLE</t>
  </si>
  <si>
    <t>99 PETES PLACE-ASHTON</t>
  </si>
  <si>
    <t>3026 3RD ST</t>
  </si>
  <si>
    <t>ASHTON</t>
  </si>
  <si>
    <t>51232</t>
  </si>
  <si>
    <t>PICKERMAN'S OF S.C.</t>
  </si>
  <si>
    <t>1762 HAMILTON BLVD.</t>
  </si>
  <si>
    <t>HAWK'S NEST</t>
  </si>
  <si>
    <t>208 MAIN ST</t>
  </si>
  <si>
    <t>ANTHONY'S STEAKHOUSE</t>
  </si>
  <si>
    <t>7220 F ST</t>
  </si>
  <si>
    <t>BONNIE &amp; CLIDE'S</t>
  </si>
  <si>
    <t>3RD ST</t>
  </si>
  <si>
    <t>JACKYS RESTAURANT - 8TH S</t>
  </si>
  <si>
    <t>702 E 8TH ST</t>
  </si>
  <si>
    <t>MERKEL CATERING</t>
  </si>
  <si>
    <t>510 SOUTH ROBINSON AVE</t>
  </si>
  <si>
    <t>HARTINGTON</t>
  </si>
  <si>
    <t>68739</t>
  </si>
  <si>
    <t>ROCK BOTTOM BEERS &amp; BURGE</t>
  </si>
  <si>
    <t>2901 BROADWAY STE C</t>
  </si>
  <si>
    <t>99 GRANNY'S</t>
  </si>
  <si>
    <t>1510 HIGHWAY 20</t>
  </si>
  <si>
    <t>WHIPS STEAK HOUSE</t>
  </si>
  <si>
    <t>812 ILLINOIS STREET</t>
  </si>
  <si>
    <t>SAM'S GYROS 2</t>
  </si>
  <si>
    <t>632 NORTH SADDLE CREEK RD</t>
  </si>
  <si>
    <t>B &amp; T'S BBQ</t>
  </si>
  <si>
    <t>410 S 1ST ST</t>
  </si>
  <si>
    <t>99-NINE &amp; DINE</t>
  </si>
  <si>
    <t>CHINA STAR BUFFET</t>
  </si>
  <si>
    <t>3201 GORDON DRIVE</t>
  </si>
  <si>
    <t>ROZIE'S ICE CREAM SHOPPE</t>
  </si>
  <si>
    <t>45722 272ND ST</t>
  </si>
  <si>
    <t>TURTLE CREEK</t>
  </si>
  <si>
    <t>121 N BROADWAY AVE</t>
  </si>
  <si>
    <t>RETRO SANDAGS</t>
  </si>
  <si>
    <t>1007 US HWY 59</t>
  </si>
  <si>
    <t>THE ROUND TABLE</t>
  </si>
  <si>
    <t>SALE BARN CAFE</t>
  </si>
  <si>
    <t>3165 HWY 71</t>
  </si>
  <si>
    <t>MONARCH STEAKHOUSE</t>
  </si>
  <si>
    <t>856 ORIOLE DRIVE</t>
  </si>
  <si>
    <t>APPLE VALLEY</t>
  </si>
  <si>
    <t>55124</t>
  </si>
  <si>
    <t>BURGER BARN DRIVE IN LLC</t>
  </si>
  <si>
    <t>108 1ST STREET</t>
  </si>
  <si>
    <t>SAC CTU CATTLE COMPY-NEW</t>
  </si>
  <si>
    <t>508 W MAIN</t>
  </si>
  <si>
    <t>PAPA'S PUB &amp; EATERY</t>
  </si>
  <si>
    <t>425 E 4TH ST</t>
  </si>
  <si>
    <t>SIOUX CITY COUNTRY CLUB</t>
  </si>
  <si>
    <t>4001 JACKSON ST</t>
  </si>
  <si>
    <t>SWEET GRASS</t>
  </si>
  <si>
    <t>116 MAIN ST E</t>
  </si>
  <si>
    <t>WESSINGTON SPRINGS</t>
  </si>
  <si>
    <t>57382</t>
  </si>
  <si>
    <t>KING KONG GYROS (72ND)</t>
  </si>
  <si>
    <t>5250 SOUTH 72ND STREET</t>
  </si>
  <si>
    <t>68131</t>
  </si>
  <si>
    <t>BALTIC CORNER</t>
  </si>
  <si>
    <t>25001 475TH AVE</t>
  </si>
  <si>
    <t>DAILY GRIND</t>
  </si>
  <si>
    <t>511 4TH STREET</t>
  </si>
  <si>
    <t>51102</t>
  </si>
  <si>
    <t>STUMBLE INN</t>
  </si>
  <si>
    <t>301 MAIN ST</t>
  </si>
  <si>
    <t>STICKNEY</t>
  </si>
  <si>
    <t>57375</t>
  </si>
  <si>
    <t>SIBLEY CAFE SIBLEY</t>
  </si>
  <si>
    <t>326 9TH ST</t>
  </si>
  <si>
    <t>SCOREBOARD PUB &amp; GRILL</t>
  </si>
  <si>
    <t>522 N MAIN ST</t>
  </si>
  <si>
    <t>DOOSKY'S EAST LLC</t>
  </si>
  <si>
    <t>101 SOUTH HIGHWAY 140</t>
  </si>
  <si>
    <t>AFTER 5</t>
  </si>
  <si>
    <t>205 8TH AVE</t>
  </si>
  <si>
    <t>FREDDY'S GOOD GRUB &amp; SUDS</t>
  </si>
  <si>
    <t>109 N MAIN STREET</t>
  </si>
  <si>
    <t>SHIRLEY'S DINER</t>
  </si>
  <si>
    <t>142 E 2ND ST</t>
  </si>
  <si>
    <t>CINDY'S UPTOWN KITCH</t>
  </si>
  <si>
    <t>206 IDAHO ST</t>
  </si>
  <si>
    <t>GLIDDEN</t>
  </si>
  <si>
    <t>51443</t>
  </si>
  <si>
    <t>CHASER'S</t>
  </si>
  <si>
    <t>8405 W 12TH ST</t>
  </si>
  <si>
    <t>COUNTRY HOST - NEW</t>
  </si>
  <si>
    <t>3020 20TH ST</t>
  </si>
  <si>
    <t>SLAYTON</t>
  </si>
  <si>
    <t>99-BRICK OVEN</t>
  </si>
  <si>
    <t>201 W MAIN</t>
  </si>
  <si>
    <t>SIOUX VALLEY GRILLE</t>
  </si>
  <si>
    <t>117 E 5TH ST</t>
  </si>
  <si>
    <t>CANTON</t>
  </si>
  <si>
    <t>BAGELS &amp; BREW</t>
  </si>
  <si>
    <t>1221 E COLLEGE DR</t>
  </si>
  <si>
    <t>SCHRANK'S BAR&amp;GRILL SLOAN</t>
  </si>
  <si>
    <t>418 REBEL WAY</t>
  </si>
  <si>
    <t>OVATIONS FOOD SERVICE-PEN</t>
  </si>
  <si>
    <t>2210 W PENTAGON PL</t>
  </si>
  <si>
    <t>BUGATI STEAKHOUSE</t>
  </si>
  <si>
    <t>47894 302ND ST</t>
  </si>
  <si>
    <t>99-MARVIN BAR</t>
  </si>
  <si>
    <t>14 CHURCH ST</t>
  </si>
  <si>
    <t>MARVIN</t>
  </si>
  <si>
    <t>57251</t>
  </si>
  <si>
    <t>HOLIDAY LOUNGE-O</t>
  </si>
  <si>
    <t>7846 DODGE STREET</t>
  </si>
  <si>
    <t>B &amp; D'S GRILL</t>
  </si>
  <si>
    <t>534 HWY 39</t>
  </si>
  <si>
    <t>THE CONNECTION YOUTH CENT</t>
  </si>
  <si>
    <t>100 RING AVENUE NORTH</t>
  </si>
  <si>
    <t>NEW PRAIRIE THISTLE FLORA</t>
  </si>
  <si>
    <t>224 IOWA AVE S</t>
  </si>
  <si>
    <t>HIGHMORE</t>
  </si>
  <si>
    <t>57345</t>
  </si>
  <si>
    <t>LAURA MAYS DELI</t>
  </si>
  <si>
    <t>417 N MAIN ST</t>
  </si>
  <si>
    <t>AMBER INN</t>
  </si>
  <si>
    <t>635 8TH AVE SW</t>
  </si>
  <si>
    <t>SAC COUNTY CATTLE COMPANY</t>
  </si>
  <si>
    <t>PO BOX 508</t>
  </si>
  <si>
    <t>SECOND STREET DINER - CAF</t>
  </si>
  <si>
    <t>610 S WASHINGTON</t>
  </si>
  <si>
    <t>BOWL-MOR</t>
  </si>
  <si>
    <t>205 MAIN STREET</t>
  </si>
  <si>
    <t>SANBORN</t>
  </si>
  <si>
    <t>51248</t>
  </si>
  <si>
    <t>SUDS N JUGS</t>
  </si>
  <si>
    <t>807 IOWA AVENUE</t>
  </si>
  <si>
    <t>GT'S CATERING</t>
  </si>
  <si>
    <t>HWY 42 THRU ROWENA TO 100</t>
  </si>
  <si>
    <t>LEMARS SPORTSMAN CLUB</t>
  </si>
  <si>
    <t>421 2ND AVENUE S.W.</t>
  </si>
  <si>
    <t>4TH ST DEPOT</t>
  </si>
  <si>
    <t>300 SOUTH 4TH ST</t>
  </si>
  <si>
    <t>PRAIRIE GREEN GOLF COURSE</t>
  </si>
  <si>
    <t>600 E 69TH ST</t>
  </si>
  <si>
    <t>BACK SEAT DINER</t>
  </si>
  <si>
    <t>504 13TH ST</t>
  </si>
  <si>
    <t>THE HUB</t>
  </si>
  <si>
    <t>2006 20TH ST</t>
  </si>
  <si>
    <t>HI-WAY CAFE</t>
  </si>
  <si>
    <t>303 S DIVISION</t>
  </si>
  <si>
    <t>ABE'S COFFEE SHOP</t>
  </si>
  <si>
    <t>302 W 3RD ST</t>
  </si>
  <si>
    <t>33-DINER 34</t>
  </si>
  <si>
    <t>201 E HWY 34</t>
  </si>
  <si>
    <t>CAMINO GRILL &amp; BAR</t>
  </si>
  <si>
    <t>3010 BROADWAY AVE</t>
  </si>
  <si>
    <t>DARI KING-PIPESTONE</t>
  </si>
  <si>
    <t>605 7TH ST</t>
  </si>
  <si>
    <t>99-IRISH PUB</t>
  </si>
  <si>
    <t>111 W MAIN</t>
  </si>
  <si>
    <t>45-LUNKERS</t>
  </si>
  <si>
    <t>100 N LAKE DR</t>
  </si>
  <si>
    <t>REMSEN CAFE</t>
  </si>
  <si>
    <t>122 S WASHINGTON ST</t>
  </si>
  <si>
    <t>PRAIRIE VIEW COUNTRY CLUB</t>
  </si>
  <si>
    <t>48585 184TH AVE</t>
  </si>
  <si>
    <t>EL ALAMO</t>
  </si>
  <si>
    <t>4917 S. 24TH ST</t>
  </si>
  <si>
    <t>THE PUB HOUSE</t>
  </si>
  <si>
    <t>200 S EGAN AVE</t>
  </si>
  <si>
    <t>BACKROADS BAR &amp; GRILL</t>
  </si>
  <si>
    <t>370 ASH ST</t>
  </si>
  <si>
    <t>CLEMENTS</t>
  </si>
  <si>
    <t>56224</t>
  </si>
  <si>
    <t>LAKER BAR &amp; GRILL</t>
  </si>
  <si>
    <t>999 2ND AVE</t>
  </si>
  <si>
    <t>MOUNTAIN LAKE</t>
  </si>
  <si>
    <t>BORDER FARE</t>
  </si>
  <si>
    <t>1704 CHATBURN AVENUE</t>
  </si>
  <si>
    <t>HARLAN</t>
  </si>
  <si>
    <t>51537</t>
  </si>
  <si>
    <t>END ZONE BAR &amp; GRILL</t>
  </si>
  <si>
    <t>257 N MAIN ST</t>
  </si>
  <si>
    <t>57058</t>
  </si>
  <si>
    <t>THE POINT</t>
  </si>
  <si>
    <t>23491 JOHNSON POINT RD</t>
  </si>
  <si>
    <t>KING KONG GYROS (W CTR)</t>
  </si>
  <si>
    <t>15605 W CENTER STREET</t>
  </si>
  <si>
    <t>68130</t>
  </si>
  <si>
    <t>YESTERDAY'S, INC-NEW-YNK</t>
  </si>
  <si>
    <t>2216 BROADWAY</t>
  </si>
  <si>
    <t>RODEO SALOON &amp; BBQ</t>
  </si>
  <si>
    <t>164 W BROADWAY</t>
  </si>
  <si>
    <t>THE RAM-OHARA'S</t>
  </si>
  <si>
    <t>327 MAIN AVE</t>
  </si>
  <si>
    <t>KITCHEN</t>
  </si>
  <si>
    <t>2206 W 12TH ST</t>
  </si>
  <si>
    <t>ONLY ONE, THE</t>
  </si>
  <si>
    <t>201 S MAIN ST</t>
  </si>
  <si>
    <t>DURANGO'S BAR &amp; GRILL</t>
  </si>
  <si>
    <t>926 3RD AVE</t>
  </si>
  <si>
    <t>TOBY'S LOUNGE</t>
  </si>
  <si>
    <t>31364 MECKLING ROAD</t>
  </si>
  <si>
    <t>MECKLING</t>
  </si>
  <si>
    <t>DONNA'S DINER</t>
  </si>
  <si>
    <t>108 E 5TH</t>
  </si>
  <si>
    <t>WYNOT</t>
  </si>
  <si>
    <t>68792</t>
  </si>
  <si>
    <t>99-BRYANT CINEMA</t>
  </si>
  <si>
    <t>115 W MAIN</t>
  </si>
  <si>
    <t>BRYANT</t>
  </si>
  <si>
    <t>57221</t>
  </si>
  <si>
    <t>MINNEHAHA C.C. 243</t>
  </si>
  <si>
    <t>3101 W 22ND ST</t>
  </si>
  <si>
    <t>NELLIE'S</t>
  </si>
  <si>
    <t>550 HWY 14</t>
  </si>
  <si>
    <t>WALNUT GROVE</t>
  </si>
  <si>
    <t>56180</t>
  </si>
  <si>
    <t>99-HOOTZ</t>
  </si>
  <si>
    <t>115 E 3RD ST</t>
  </si>
  <si>
    <t>SAM'S BAR &amp; GRILL LLC</t>
  </si>
  <si>
    <t>29 MAIN ST</t>
  </si>
  <si>
    <t>BROOKINGS COUNTRY CLUB</t>
  </si>
  <si>
    <t>2180 CLUB HOUSE DR</t>
  </si>
  <si>
    <t>BACKYARD GRILL CATER</t>
  </si>
  <si>
    <t>1461 6TH ST</t>
  </si>
  <si>
    <t>AGUA FRESH</t>
  </si>
  <si>
    <t>5000 W EMPIRE PL (FC07)</t>
  </si>
  <si>
    <t>CHEF ELLEN</t>
  </si>
  <si>
    <t>2210 W 69TH ST STE 130</t>
  </si>
  <si>
    <t>BIG SIOUX BAR &amp; GRILL</t>
  </si>
  <si>
    <t>123 S MAIN AVE</t>
  </si>
  <si>
    <t>LIEBRARY,THE</t>
  </si>
  <si>
    <t>5108 S MARION RD</t>
  </si>
  <si>
    <t>HISTORIC ARGO HOTEL</t>
  </si>
  <si>
    <t>211 W KANSAS ST</t>
  </si>
  <si>
    <t>THE DOG HOUSE BAR &amp; GRILL</t>
  </si>
  <si>
    <t>705 MAIN STREET</t>
  </si>
  <si>
    <t>JESSIQUE 'S HOMECOOKED ME</t>
  </si>
  <si>
    <t>310 STATE ST</t>
  </si>
  <si>
    <t>RUSHMORE BOOSTER CLUB</t>
  </si>
  <si>
    <t>124 N THOMPSON</t>
  </si>
  <si>
    <t>LANCE WHITE CHEF SERVICES</t>
  </si>
  <si>
    <t>6501 S CONNIE AVE #307</t>
  </si>
  <si>
    <t>CARDINAL TAP</t>
  </si>
  <si>
    <t>ARLINGTON</t>
  </si>
  <si>
    <t>57212</t>
  </si>
  <si>
    <t>J &amp; J CAFE</t>
  </si>
  <si>
    <t>321 5 TH AVE SW  P.O.BOX</t>
  </si>
  <si>
    <t>RIVER CITY GRILL AND CATE</t>
  </si>
  <si>
    <t>110 CLUB STREET</t>
  </si>
  <si>
    <t>TIMBER RIDGE</t>
  </si>
  <si>
    <t>419 1/2 MAIN STREET</t>
  </si>
  <si>
    <t>TWO SPURS STEAKHOUSE</t>
  </si>
  <si>
    <t>46 WEST AVE SW</t>
  </si>
  <si>
    <t>WAGNER</t>
  </si>
  <si>
    <t>57380</t>
  </si>
  <si>
    <t>LA YOLA</t>
  </si>
  <si>
    <t>411 W MILWAUKEE AVE</t>
  </si>
  <si>
    <t>99-MIDWEST CATERING</t>
  </si>
  <si>
    <t>3628 S SOUTHEASTERN AVE</t>
  </si>
  <si>
    <t>WEITZEL'S RESTAURANT &amp; BA</t>
  </si>
  <si>
    <t>1904 E 7TH ST</t>
  </si>
  <si>
    <t>ATLANTIC</t>
  </si>
  <si>
    <t>50022</t>
  </si>
  <si>
    <t>CHARLIE'S ON THE LAKE</t>
  </si>
  <si>
    <t>4150 SOUTH 144TH STREET</t>
  </si>
  <si>
    <t>99-ALPINE INN</t>
  </si>
  <si>
    <t>212 S SNEVE AVE</t>
  </si>
  <si>
    <t>BUCK SNORT</t>
  </si>
  <si>
    <t>25 SCOTT ST</t>
  </si>
  <si>
    <t>HOFER'S LOUNGE</t>
  </si>
  <si>
    <t>505 N MAIN</t>
  </si>
  <si>
    <t>DIMOCK</t>
  </si>
  <si>
    <t>57331</t>
  </si>
  <si>
    <t>THE FILLING STATION-NEW O</t>
  </si>
  <si>
    <t>1808 N HWY 75</t>
  </si>
  <si>
    <t>PETROW'S REST-O</t>
  </si>
  <si>
    <t>5914 CENTER</t>
  </si>
  <si>
    <t>FINNEGANS PUB</t>
  </si>
  <si>
    <t>4309 SOUTH 120TH STREET</t>
  </si>
  <si>
    <t>BOOMS DRIVE IN PLATTE</t>
  </si>
  <si>
    <t>WATERTOWN FAMILY AQUATIC</t>
  </si>
  <si>
    <t>119 9TH AVE SW</t>
  </si>
  <si>
    <t>CINDI MAE'S</t>
  </si>
  <si>
    <t>EARLING</t>
  </si>
  <si>
    <t>51530</t>
  </si>
  <si>
    <t>KYLIE Q'S BBQ LLC</t>
  </si>
  <si>
    <t>3040 CHEYENNE BLVD</t>
  </si>
  <si>
    <t>LEMKES</t>
  </si>
  <si>
    <t>HURLEY BAR</t>
  </si>
  <si>
    <t>604 CENTER AVE</t>
  </si>
  <si>
    <t>HURLEY</t>
  </si>
  <si>
    <t>57036</t>
  </si>
  <si>
    <t>UNDERGROUND RESTAURANT</t>
  </si>
  <si>
    <t>28 SOUTH 29TH ST</t>
  </si>
  <si>
    <t>FRONT PORCH CONCESSION</t>
  </si>
  <si>
    <t>44633 271ST ST</t>
  </si>
  <si>
    <t>GRISWOLD GOLF &amp; CC</t>
  </si>
  <si>
    <t>67777 560TH ST</t>
  </si>
  <si>
    <t>COUNTRYSIDE INN STEAKHOUS</t>
  </si>
  <si>
    <t>208 N LOUISIANA AVE</t>
  </si>
  <si>
    <t>THE HIWAY CAFE</t>
  </si>
  <si>
    <t>1601 EAST OLD HIWAY 18</t>
  </si>
  <si>
    <t>RUTHVEN</t>
  </si>
  <si>
    <t>51358</t>
  </si>
  <si>
    <t>SUGAR DADDY'S BAR &amp; GRILL</t>
  </si>
  <si>
    <t>100 MILITARY ROAD</t>
  </si>
  <si>
    <t>LEGACY GYROS</t>
  </si>
  <si>
    <t>16920 WRIGHT PLAZA #114</t>
  </si>
  <si>
    <t>TEQUILA MEXICAN RESTAURAN</t>
  </si>
  <si>
    <t>613 FLINDT DR</t>
  </si>
  <si>
    <t>TWO WRIGHTS CATERING, INC</t>
  </si>
  <si>
    <t>5206 SEGER AVENUE</t>
  </si>
  <si>
    <t>SPENCER GOLF AND COUNTRY</t>
  </si>
  <si>
    <t>2200 W 18TH ST</t>
  </si>
  <si>
    <t>TACO HOUSE</t>
  </si>
  <si>
    <t>1614 TERRACE PARK BLVD.</t>
  </si>
  <si>
    <t>MARSHALL A'S</t>
  </si>
  <si>
    <t>305 LEGION FIELD RD</t>
  </si>
  <si>
    <t>THE GARDEN CAFE</t>
  </si>
  <si>
    <t>1322 JACKSON STREET</t>
  </si>
  <si>
    <t>CAKE EXPRESSIONS, INC</t>
  </si>
  <si>
    <t>508 GALVIN ROAD SOUTH</t>
  </si>
  <si>
    <t>PARLOR ICE CREAM HOUSE</t>
  </si>
  <si>
    <t>340 S MAIN AVE</t>
  </si>
  <si>
    <t>MCCREARY'S CREATIVE CATER</t>
  </si>
  <si>
    <t>605 NORTH GRAND</t>
  </si>
  <si>
    <t>RITA'S CAFE</t>
  </si>
  <si>
    <t>100 N  FRANKLIN ST</t>
  </si>
  <si>
    <t>DOW CITY</t>
  </si>
  <si>
    <t>51528</t>
  </si>
  <si>
    <t>CABOOSE BAR AND GRILL</t>
  </si>
  <si>
    <t>202 N MAIN AVE</t>
  </si>
  <si>
    <t>SLAYTON COUNTRY CLUB</t>
  </si>
  <si>
    <t>1075 US HWY 59</t>
  </si>
  <si>
    <t>MALARKY'S BAR AND GRILL</t>
  </si>
  <si>
    <t>147 FLINDT DR</t>
  </si>
  <si>
    <t>BRIGHTSIDE CAFE &amp; DELI LL</t>
  </si>
  <si>
    <t>525 4TH ST</t>
  </si>
  <si>
    <t>STUBB'S PUB</t>
  </si>
  <si>
    <t>315 AETNA ST</t>
  </si>
  <si>
    <t>RUTHTON</t>
  </si>
  <si>
    <t>56170</t>
  </si>
  <si>
    <t>EL TAPATIO MEXICAN RESTAU</t>
  </si>
  <si>
    <t>715 9TH AVE SE</t>
  </si>
  <si>
    <t>ROMA ITALIAN RESTAURANT</t>
  </si>
  <si>
    <t>605 FORT CROOK ROAD</t>
  </si>
  <si>
    <t>TAULELLE CONCESSIONS</t>
  </si>
  <si>
    <t>6120 TRINITY DRIVE</t>
  </si>
  <si>
    <t>FRIDLEY</t>
  </si>
  <si>
    <t>55432</t>
  </si>
  <si>
    <t>LENKOTA COUNTRY CLUB</t>
  </si>
  <si>
    <t>27853 HWY 44</t>
  </si>
  <si>
    <t>THE BULLPEN RESTAURANT</t>
  </si>
  <si>
    <t>511 MAIN AVE</t>
  </si>
  <si>
    <t>LAKE NORDEN</t>
  </si>
  <si>
    <t>57248</t>
  </si>
  <si>
    <t>LINGONBERRY'S</t>
  </si>
  <si>
    <t>124 2ND ST NW</t>
  </si>
  <si>
    <t>HARD ROCK - MAIN WAREHOUS</t>
  </si>
  <si>
    <t>111 3RD STREET</t>
  </si>
  <si>
    <t>LA ORIGINAL</t>
  </si>
  <si>
    <t>516 W MILWAUKEE AVE</t>
  </si>
  <si>
    <t>99-SHAKES N STUFF</t>
  </si>
  <si>
    <t>1701 WEST HAVENS</t>
  </si>
  <si>
    <t>BACKDOOR BBQ</t>
  </si>
  <si>
    <t>103 W 4TH</t>
  </si>
  <si>
    <t>99-SANDY'S BAR</t>
  </si>
  <si>
    <t>100 S 3RD AVE</t>
  </si>
  <si>
    <t>EMERY</t>
  </si>
  <si>
    <t>57332</t>
  </si>
  <si>
    <t>SNORTZ BARBEQUE</t>
  </si>
  <si>
    <t>48181 SD HWY 42</t>
  </si>
  <si>
    <t>BRANDON</t>
  </si>
  <si>
    <t>BIG J'S ROADHOUSE 2</t>
  </si>
  <si>
    <t>510 N CLIFF AVE-PO 28</t>
  </si>
  <si>
    <t>ROOSTER BAR</t>
  </si>
  <si>
    <t>5290 9TH AVE SW</t>
  </si>
  <si>
    <t>3 CHEFS</t>
  </si>
  <si>
    <t>803 WEST NATIONAL GUARD D</t>
  </si>
  <si>
    <t>99-BOATHOUSE AT ABR</t>
  </si>
  <si>
    <t>126 S LAKE DR</t>
  </si>
  <si>
    <t>PONDEROSA</t>
  </si>
  <si>
    <t>109 S MAIN</t>
  </si>
  <si>
    <t>THE DOG HOUSE BAR AND GRI</t>
  </si>
  <si>
    <t>608 IOWA AVE</t>
  </si>
  <si>
    <t>DUNLAP</t>
  </si>
  <si>
    <t>51529</t>
  </si>
  <si>
    <t>DAYS INN - N. SIOUX CITY</t>
  </si>
  <si>
    <t>1311 RIVER DRIVE</t>
  </si>
  <si>
    <t>EL CHAMOY</t>
  </si>
  <si>
    <t>2310 DAKOTA AVE</t>
  </si>
  <si>
    <t>DAIRY DANDY</t>
  </si>
  <si>
    <t>1116 2ND AVE</t>
  </si>
  <si>
    <t>PICKERAL LAKE LODGE</t>
  </si>
  <si>
    <t>2356 MIOTKE RD</t>
  </si>
  <si>
    <t>ROSLYN</t>
  </si>
  <si>
    <t>57261</t>
  </si>
  <si>
    <t>TOWNHOUSE PIZZA AND LOUNG</t>
  </si>
  <si>
    <t>THE JAR KITCHEN</t>
  </si>
  <si>
    <t>THE CHICKEN TRAP</t>
  </si>
  <si>
    <t>402 S SAINT PAUL AVE</t>
  </si>
  <si>
    <t>BRIDGEWATER CAFE</t>
  </si>
  <si>
    <t>300 S MAIN AVE</t>
  </si>
  <si>
    <t>SIOUX GATEWAY AIRPORT</t>
  </si>
  <si>
    <t>2403 AVIATION BLVD</t>
  </si>
  <si>
    <t>99-MCKINNEY'S ON SOUTHSID</t>
  </si>
  <si>
    <t>300 14TH ST S</t>
  </si>
  <si>
    <t>99-3RD ST BAR&amp;GRILLE CATE</t>
  </si>
  <si>
    <t>110 CALUMET</t>
  </si>
  <si>
    <t>99-PONY CREEK STEAKHOUSE</t>
  </si>
  <si>
    <t>714 W MAPLE</t>
  </si>
  <si>
    <t>FLANDREAU BISTRO &amp; ROASTE</t>
  </si>
  <si>
    <t>108 N WIND ST</t>
  </si>
  <si>
    <t>THE DOG HOUSE</t>
  </si>
  <si>
    <t>GRAINERY (STONES TRUCK ST</t>
  </si>
  <si>
    <t>3801 9TH AVE SE</t>
  </si>
  <si>
    <t>PERRY'S PLACE</t>
  </si>
  <si>
    <t>9652 MOCKINGBIRD DRIVE</t>
  </si>
  <si>
    <t>AL'S OASIS</t>
  </si>
  <si>
    <t>1000 E SOUTH DAKOTA HIGHW</t>
  </si>
  <si>
    <t>NEVERIA Y ANTOJITOS CUAUH</t>
  </si>
  <si>
    <t>2116 COURT STREET</t>
  </si>
  <si>
    <t>SHIP'S INN BAR/GRILL</t>
  </si>
  <si>
    <t>105 EAST MAIN</t>
  </si>
  <si>
    <t>SUPER 8 MOTEL - MADISON</t>
  </si>
  <si>
    <t>219 N HIGHLAND AVE</t>
  </si>
  <si>
    <t>THE YARD BAR AND GRILL</t>
  </si>
  <si>
    <t>211 10TH ST</t>
  </si>
  <si>
    <t>ALTON</t>
  </si>
  <si>
    <t>51003</t>
  </si>
  <si>
    <t>LEMARS LITTLE LEAGUE</t>
  </si>
  <si>
    <t>433 16TH STREET S.E.</t>
  </si>
  <si>
    <t>99-KRONBORG INN</t>
  </si>
  <si>
    <t>101 W HWY 14</t>
  </si>
  <si>
    <t>TAQUERIA EL TAPATIO</t>
  </si>
  <si>
    <t>419 GRAND AVE</t>
  </si>
  <si>
    <t>GRILLE 26</t>
  </si>
  <si>
    <t>1716 S WESTERN AVE</t>
  </si>
  <si>
    <t>KELLEY'S NORTH BOWL</t>
  </si>
  <si>
    <t>8701 N 30TH</t>
  </si>
  <si>
    <t>68112</t>
  </si>
  <si>
    <t>SUNSET BAR AND GRILL</t>
  </si>
  <si>
    <t>235 MN-23</t>
  </si>
  <si>
    <t>P ' S PIZZA HOUSE  ( DAKO</t>
  </si>
  <si>
    <t>300 GOLD CIRCLE</t>
  </si>
  <si>
    <t>PANTHER BOOSTER CLUB TRAC</t>
  </si>
  <si>
    <t>934 PINE ST</t>
  </si>
  <si>
    <t>TOP FLOOR EVENTS</t>
  </si>
  <si>
    <t>31 4TH ST SE</t>
  </si>
  <si>
    <t>PHO QUYNH</t>
  </si>
  <si>
    <t>1100 W 12TH ST</t>
  </si>
  <si>
    <t>MOTHER NATURES</t>
  </si>
  <si>
    <t>1027 CENTRAL AVE</t>
  </si>
  <si>
    <t>ESTHERVILLE</t>
  </si>
  <si>
    <t>51334</t>
  </si>
  <si>
    <t>DRIFTERS BAR &amp; GRILL</t>
  </si>
  <si>
    <t>106 2ND STREET</t>
  </si>
  <si>
    <t>CALUMET</t>
  </si>
  <si>
    <t>51009</t>
  </si>
  <si>
    <t>DO ROCK</t>
  </si>
  <si>
    <t>1200 7TH AVE</t>
  </si>
  <si>
    <t>ROCK VALLEY GOLF CLUB</t>
  </si>
  <si>
    <t>701 GOLF COURSE RD</t>
  </si>
  <si>
    <t>ROCK VALLEY</t>
  </si>
  <si>
    <t>UNION JACK'S GRILL</t>
  </si>
  <si>
    <t>215 1ST AVE</t>
  </si>
  <si>
    <t>"O" SO GOOD</t>
  </si>
  <si>
    <t>529 MAIN AVE</t>
  </si>
  <si>
    <t>JONOS</t>
  </si>
  <si>
    <t>1700 W BURNSIDE ST</t>
  </si>
  <si>
    <t>DOWNTOWN GRILLE</t>
  </si>
  <si>
    <t>121 3RD ST NW</t>
  </si>
  <si>
    <t>HALFWAY CAFE</t>
  </si>
  <si>
    <t>303 N MAIN ST</t>
  </si>
  <si>
    <t>D &amp; L CATERING</t>
  </si>
  <si>
    <t>706 A STREET</t>
  </si>
  <si>
    <t>HAWKEYE BAR</t>
  </si>
  <si>
    <t>130 N MAIN</t>
  </si>
  <si>
    <t>99-LOG CABIN DRIVE INN</t>
  </si>
  <si>
    <t>106 E HWY 14</t>
  </si>
  <si>
    <t>SCHLOTZSKY'S</t>
  </si>
  <si>
    <t>1501 W 41ST ST</t>
  </si>
  <si>
    <t>TYSON EVENTS CENTER</t>
  </si>
  <si>
    <t>401 GORDON DRIVE</t>
  </si>
  <si>
    <t>AMERICINN LODGE &amp; SUITES</t>
  </si>
  <si>
    <t>4230 S LEWIS BLVD</t>
  </si>
  <si>
    <t>SPORTSMAN STEAK HOUSE &amp; L</t>
  </si>
  <si>
    <t>89229 572ND AVE</t>
  </si>
  <si>
    <t>THE SEED COFFEHOUSE AND E</t>
  </si>
  <si>
    <t>600 BROADWAY ST</t>
  </si>
  <si>
    <t>NANA'S SUMMERTIME DRIVE I</t>
  </si>
  <si>
    <t>1109 1ST STREET</t>
  </si>
  <si>
    <t>MOORHEAD</t>
  </si>
  <si>
    <t>51558</t>
  </si>
  <si>
    <t>VALLEY VIEW GOLF COURSE</t>
  </si>
  <si>
    <t>27996 438TH AVE</t>
  </si>
  <si>
    <t>99-FLYBOY DONUTS</t>
  </si>
  <si>
    <t>5005 S. WESTERN AVE.</t>
  </si>
  <si>
    <t>MORGAN POOL</t>
  </si>
  <si>
    <t>200 LINDSEY AVE</t>
  </si>
  <si>
    <t>MORGAN</t>
  </si>
  <si>
    <t>56266</t>
  </si>
  <si>
    <t>19 TH HOLE</t>
  </si>
  <si>
    <t>2669 KENNEDY AVE.</t>
  </si>
  <si>
    <t>GEORGE</t>
  </si>
  <si>
    <t>51237</t>
  </si>
  <si>
    <t>99-OLD DUTCH INN</t>
  </si>
  <si>
    <t>405 S GARFIELD AVE</t>
  </si>
  <si>
    <t>THE LAKE PRESTON CAFE</t>
  </si>
  <si>
    <t>306 MAIN AVE N</t>
  </si>
  <si>
    <t>SANDBAR</t>
  </si>
  <si>
    <t>103 NORTH NOYES ST</t>
  </si>
  <si>
    <t>MONDAMIN</t>
  </si>
  <si>
    <t>40TH &amp; JACKSON ST</t>
  </si>
  <si>
    <t>TRATTORIA FRESCA</t>
  </si>
  <si>
    <t>511 4TH ST</t>
  </si>
  <si>
    <t>ROUNDING 3RD BAR &amp; CASINO</t>
  </si>
  <si>
    <t>304 W 3RD ST</t>
  </si>
  <si>
    <t>MILK 2 YOU</t>
  </si>
  <si>
    <t>7410 F STREET</t>
  </si>
  <si>
    <t>WEASY'S LOUNGE &amp; GRILL</t>
  </si>
  <si>
    <t>216 GRAND AVE</t>
  </si>
  <si>
    <t>CATERING BY ERV</t>
  </si>
  <si>
    <t>3615 REBECCA ST.</t>
  </si>
  <si>
    <t>CASABLANCA INC.</t>
  </si>
  <si>
    <t>140 S 25TH ST</t>
  </si>
  <si>
    <t>URBAN CHISLIC LLC</t>
  </si>
  <si>
    <t>431 W 85TH STREET</t>
  </si>
  <si>
    <t>MAIN STREET LUNCH BOX</t>
  </si>
  <si>
    <t>212 N BROADWAY</t>
  </si>
  <si>
    <t>DE SMET SUPER DLX IN M GU</t>
  </si>
  <si>
    <t>288 HIGHWAY 14 EAST</t>
  </si>
  <si>
    <t>EILERS STEAKHOUSE</t>
  </si>
  <si>
    <t>116 KENYON ROAD</t>
  </si>
  <si>
    <t>99 HOWLERS BAR &amp; GRILL</t>
  </si>
  <si>
    <t>912 N. DAKOTA STREET</t>
  </si>
  <si>
    <t>MI TIERRA</t>
  </si>
  <si>
    <t>1122 N WEBER ST</t>
  </si>
  <si>
    <t>PILLARS PUB &amp; EATERY</t>
  </si>
  <si>
    <t>507 2ND STREET</t>
  </si>
  <si>
    <t>56143</t>
  </si>
  <si>
    <t>OPA TIME</t>
  </si>
  <si>
    <t>2129 HAMILTON BLVD</t>
  </si>
  <si>
    <t>1005 13TH ST SW</t>
  </si>
  <si>
    <t>THE DEPOT</t>
  </si>
  <si>
    <t>229 SOUTH 6TH STREET</t>
  </si>
  <si>
    <t>RUDY NAVARRETES MEXICAN F</t>
  </si>
  <si>
    <t>2421 RIVERSIDE BLVD</t>
  </si>
  <si>
    <t>DAKOTA DUNES CO. CLUB</t>
  </si>
  <si>
    <t>960 S DAKOTA DUNES BLVD</t>
  </si>
  <si>
    <t>HI-LO RESTAURANT AND CATE</t>
  </si>
  <si>
    <t>80626 ST HWY 86</t>
  </si>
  <si>
    <t>99-SCOTTY D'S BBQ</t>
  </si>
  <si>
    <t>1075 IOWA AVE SE</t>
  </si>
  <si>
    <t>99-KAT'S HOG HEAVEN</t>
  </si>
  <si>
    <t>608 SECOND ST</t>
  </si>
  <si>
    <t>CROSSROADS PUB</t>
  </si>
  <si>
    <t>100 BROADWAY ST</t>
  </si>
  <si>
    <t>SMITHLAND</t>
  </si>
  <si>
    <t>51056</t>
  </si>
  <si>
    <t>LOS TULIPANES MEXICAN RES</t>
  </si>
  <si>
    <t>607 8TH AVE NE</t>
  </si>
  <si>
    <t>JABRESHWAR SD-DAYS INN NS</t>
  </si>
  <si>
    <t>NATIVE STAR CASINO</t>
  </si>
  <si>
    <t>1501 IND. PARKWAY</t>
  </si>
  <si>
    <t>WINNEBAGO</t>
  </si>
  <si>
    <t>68071</t>
  </si>
  <si>
    <t>99-BJ'S BACKROADS BAR &amp; G</t>
  </si>
  <si>
    <t>99-BART'S BAR-RUTHTON</t>
  </si>
  <si>
    <t>316 AETNA ST</t>
  </si>
  <si>
    <t>99-SKIPPERS PIZZA</t>
  </si>
  <si>
    <t>204 S EGAN AVE</t>
  </si>
  <si>
    <t>CHUGGERS BAR</t>
  </si>
  <si>
    <t>230 REED STREET</t>
  </si>
  <si>
    <t>BETTERDAY CAFE</t>
  </si>
  <si>
    <t>518 LAKEVIEW LN</t>
  </si>
  <si>
    <t>99-BORROWED BUCKS ROAD HO</t>
  </si>
  <si>
    <t>3609 S WESTERN AVE</t>
  </si>
  <si>
    <t>JITTERS ON PEARL</t>
  </si>
  <si>
    <t>415 PEARL STREET</t>
  </si>
  <si>
    <t>KHORASAN KABOB HOUSE</t>
  </si>
  <si>
    <t>2412 W 41ST ST</t>
  </si>
  <si>
    <t>SOO-Z'S SALOON</t>
  </si>
  <si>
    <t>1910 LEECH AVE</t>
  </si>
  <si>
    <t>BIN 201</t>
  </si>
  <si>
    <t>201 E 11TH ST</t>
  </si>
  <si>
    <t>EMPIRE BOWL</t>
  </si>
  <si>
    <t>3800 S WESTPORT AVE</t>
  </si>
  <si>
    <t>BOB'S DRIVE INN</t>
  </si>
  <si>
    <t>HWY 75 SO</t>
  </si>
  <si>
    <t>WILLIES BAR &amp; GRILL</t>
  </si>
  <si>
    <t>212 N COMMERCIAL AVE</t>
  </si>
  <si>
    <t>SAINT LAWRENCE</t>
  </si>
  <si>
    <t>57373</t>
  </si>
  <si>
    <t>TONI'S DEPOT           GU</t>
  </si>
  <si>
    <t>814 MAIN STREET WEST</t>
  </si>
  <si>
    <t>THE SHED</t>
  </si>
  <si>
    <t>719 N MN-86</t>
  </si>
  <si>
    <t>CAFE TERESA</t>
  </si>
  <si>
    <t>312 N MAIN ST</t>
  </si>
  <si>
    <t>BUZZSAW, INC</t>
  </si>
  <si>
    <t>309 LOGAN STREET</t>
  </si>
  <si>
    <t>WATERBURY</t>
  </si>
  <si>
    <t>68785</t>
  </si>
  <si>
    <t>TAQUERIA CHANGO</t>
  </si>
  <si>
    <t>507 5TH ST</t>
  </si>
  <si>
    <t>FETA'S GYROS &amp; CATERING I</t>
  </si>
  <si>
    <t>119 S 40TH.</t>
  </si>
  <si>
    <t>HAMPTON INN - MITCHELL SN</t>
  </si>
  <si>
    <t>T-BONES GRILL &amp; BAR</t>
  </si>
  <si>
    <t>THE SHACK</t>
  </si>
  <si>
    <t>4865 CENTER ST SUITE 6</t>
  </si>
  <si>
    <t>MAIN STREET CAFE &amp; CATERI</t>
  </si>
  <si>
    <t>404 2ND ST</t>
  </si>
  <si>
    <t>DOC'S BAR</t>
  </si>
  <si>
    <t>231 S. MAINE ST</t>
  </si>
  <si>
    <t>99-THE NEW PLAINS</t>
  </si>
  <si>
    <t>960 4TH ST NE</t>
  </si>
  <si>
    <t>PLANK INN</t>
  </si>
  <si>
    <t>203 N MAIN</t>
  </si>
  <si>
    <t>SCOOTCHES</t>
  </si>
  <si>
    <t>253 MAIN STREET</t>
  </si>
  <si>
    <t>BULU BBQ</t>
  </si>
  <si>
    <t>430 E 1ST</t>
  </si>
  <si>
    <t>KELLEY'S BAR</t>
  </si>
  <si>
    <t>335 N MAIN ST</t>
  </si>
  <si>
    <t>MINERAL CITY MILL &amp; GRILL</t>
  </si>
  <si>
    <t>2621 5TH AVE S</t>
  </si>
  <si>
    <t>MEMORIES LOUNGE</t>
  </si>
  <si>
    <t>1221 BROADWAY STREET</t>
  </si>
  <si>
    <t>BERGEN BAR &amp; GRILL-WINDOM</t>
  </si>
  <si>
    <t>89982 540TH AVE</t>
  </si>
  <si>
    <t>WINDOM</t>
  </si>
  <si>
    <t>56101</t>
  </si>
  <si>
    <t>YAGGIES</t>
  </si>
  <si>
    <t>3RD AND MULBERRY</t>
  </si>
  <si>
    <t>MY BAR</t>
  </si>
  <si>
    <t>47016 SD HWY 46</t>
  </si>
  <si>
    <t>PRO SPORT BISTRO</t>
  </si>
  <si>
    <t>909 CENTRAL AVE</t>
  </si>
  <si>
    <t>HAWARDEN</t>
  </si>
  <si>
    <t>51023</t>
  </si>
  <si>
    <t>SF CHRISTIAN HIGH-COFFEE</t>
  </si>
  <si>
    <t>6120 S CHARGER AVE</t>
  </si>
  <si>
    <t>THE KEG-SIOUX FALLS</t>
  </si>
  <si>
    <t>4211 W 12TH ST</t>
  </si>
  <si>
    <t>PANDA PALACE LLC</t>
  </si>
  <si>
    <t>2601 CORNHUSKER DRIVE</t>
  </si>
  <si>
    <t>REDWOOD COUNTY 4-H FEDERA</t>
  </si>
  <si>
    <t>201 N DEKALB</t>
  </si>
  <si>
    <t>REDROSSA</t>
  </si>
  <si>
    <t>3412 S WESTERN AVE</t>
  </si>
  <si>
    <t>MAUDES PIZZA AND ICE CREA</t>
  </si>
  <si>
    <t>4400 SERGEANT RD</t>
  </si>
  <si>
    <t>BASS &amp; BUCKS</t>
  </si>
  <si>
    <t>105 S PRINCE ST</t>
  </si>
  <si>
    <t>MUSHY'S LLC</t>
  </si>
  <si>
    <t>640 BROADWAY ST</t>
  </si>
  <si>
    <t>FELLOWSHIP CHRISTIAN ATHL</t>
  </si>
  <si>
    <t>1601 E. 69TH ST SUITE #30</t>
  </si>
  <si>
    <t>ALICIA'S TEX MEXICAN FOOD</t>
  </si>
  <si>
    <t>101 MAIN ST</t>
  </si>
  <si>
    <t>MERRILL</t>
  </si>
  <si>
    <t>51038</t>
  </si>
  <si>
    <t>PATRICIA CATERING</t>
  </si>
  <si>
    <t>436 GALVIN ROAD</t>
  </si>
  <si>
    <t>MILL CREEK RESTAURANT &amp; L</t>
  </si>
  <si>
    <t>908 9TH ST</t>
  </si>
  <si>
    <t>SPORTY'S BAR &amp; GRILL</t>
  </si>
  <si>
    <t>123 S EGAN AVE</t>
  </si>
  <si>
    <t>BEER BARN AND GRILL</t>
  </si>
  <si>
    <t>726 STATE STREET</t>
  </si>
  <si>
    <t>KIRKMAN</t>
  </si>
  <si>
    <t>51447</t>
  </si>
  <si>
    <t>LOS AMIGOS MEXICAN REST</t>
  </si>
  <si>
    <t>109 MAIN ST</t>
  </si>
  <si>
    <t>1481 GRILLE</t>
  </si>
  <si>
    <t>408 S HWY 81</t>
  </si>
  <si>
    <t>99-OLDHAM SALOON</t>
  </si>
  <si>
    <t>201 E MAIN</t>
  </si>
  <si>
    <t>WOODY'S PLACE</t>
  </si>
  <si>
    <t>401 N NORMAN ST</t>
  </si>
  <si>
    <t>BUFFALO JOES</t>
  </si>
  <si>
    <t>TONY'S PIZZA AND PUB</t>
  </si>
  <si>
    <t>1917 PIERCE STREET</t>
  </si>
  <si>
    <t>JERRY'S HILLTOP-SPEC EVEN</t>
  </si>
  <si>
    <t>BROOKINGS INN</t>
  </si>
  <si>
    <t>2500 6TH ST</t>
  </si>
  <si>
    <t>99-CHERRYBEAN COFFEE COMP</t>
  </si>
  <si>
    <t>204 N BROADWAY</t>
  </si>
  <si>
    <t>D-LUX DRIVE INN</t>
  </si>
  <si>
    <t>90 3RD STREET NW</t>
  </si>
  <si>
    <t>HARTLEY</t>
  </si>
  <si>
    <t>51346</t>
  </si>
  <si>
    <t>IRWIN LOCKER</t>
  </si>
  <si>
    <t>502 ANN STREET</t>
  </si>
  <si>
    <t>IRWIN</t>
  </si>
  <si>
    <t>51446</t>
  </si>
  <si>
    <t>CHEESECAKE CREATIONS AND</t>
  </si>
  <si>
    <t>319 DAKOTA DUNES BLVD SUI</t>
  </si>
  <si>
    <t>HAMPTON INN - SF</t>
  </si>
  <si>
    <t>2417 S CAROLYN AVE</t>
  </si>
  <si>
    <t>MOTHER NATURE'S</t>
  </si>
  <si>
    <t>1027 CENTRAL AVENUE</t>
  </si>
  <si>
    <t>RAILWAY INN</t>
  </si>
  <si>
    <t>115 SOUTH 12TH STREET</t>
  </si>
  <si>
    <t>THE LANES 607</t>
  </si>
  <si>
    <t>722 WESTERN AVE</t>
  </si>
  <si>
    <t>M &amp; M'S BAR &amp; GRILL</t>
  </si>
  <si>
    <t>12 WASHINGTON ST</t>
  </si>
  <si>
    <t>OTO</t>
  </si>
  <si>
    <t>51044</t>
  </si>
  <si>
    <t>SHARI'S KITCHEN &amp; CATERIN</t>
  </si>
  <si>
    <t>119 N STORY ST</t>
  </si>
  <si>
    <t>TWO RIVERS GOLF CLUB</t>
  </si>
  <si>
    <t>150 S. OAK TREE LANE</t>
  </si>
  <si>
    <t>99-THE BANK</t>
  </si>
  <si>
    <t>917 BROADWAY</t>
  </si>
  <si>
    <t>LARCHWOOD</t>
  </si>
  <si>
    <t>51241</t>
  </si>
  <si>
    <t>IZAAK WALTON-MADISON</t>
  </si>
  <si>
    <t>P. O. BOX 3</t>
  </si>
  <si>
    <t>KEYSTONE TAVERN &amp; GRILL</t>
  </si>
  <si>
    <t>7821 MILITARY AVE</t>
  </si>
  <si>
    <t>68134</t>
  </si>
  <si>
    <t>SUNNY'S PIZZERIA</t>
  </si>
  <si>
    <t>1801 S WALTS AVE</t>
  </si>
  <si>
    <t>MARLINS FAMILY RESTAURANT</t>
  </si>
  <si>
    <t>901 W 10TH ST</t>
  </si>
  <si>
    <t>HIDDEN HILLS CAFE &amp; TAVER</t>
  </si>
  <si>
    <t>214 S MAIN AVE</t>
  </si>
  <si>
    <t>YOGI BEAR CAMP RESORT</t>
  </si>
  <si>
    <t>26014 478TH AVE</t>
  </si>
  <si>
    <t>TWISTED TAIL</t>
  </si>
  <si>
    <t>2849 335TH ST</t>
  </si>
  <si>
    <t>SHERATON INN &amp; CONV. CENT</t>
  </si>
  <si>
    <t>1211 N WEST AVE</t>
  </si>
  <si>
    <t>BOB'S DRIVE INN OF OKOBOJ</t>
  </si>
  <si>
    <t>919 OKOBOJI AVE</t>
  </si>
  <si>
    <t>SPORT BOWL</t>
  </si>
  <si>
    <t>1901 W BURNSIDE ST</t>
  </si>
  <si>
    <t>MINNEHAHA COUNTY 4-H SNAC</t>
  </si>
  <si>
    <t>2001 E 8TH ST</t>
  </si>
  <si>
    <t>99 SMITTY'S BAR &amp; GRILL</t>
  </si>
  <si>
    <t>12 WASHINGTON STREET</t>
  </si>
  <si>
    <t>MARSHALL GOLF CLUB</t>
  </si>
  <si>
    <t>800 COUNTRY CLUB DR</t>
  </si>
  <si>
    <t>SLEEP INN</t>
  </si>
  <si>
    <t>1500 N KIWANIS AVE</t>
  </si>
  <si>
    <t>VANECKER RACETRACK</t>
  </si>
  <si>
    <t>16 STOWER DRIVE</t>
  </si>
  <si>
    <t>SAM'S SODAS &amp; SANDWICHES</t>
  </si>
  <si>
    <t>127 W. 5TH STREET</t>
  </si>
  <si>
    <t>CITY LIMITS BAR &amp; GRILL</t>
  </si>
  <si>
    <t>3124 JUNIPER AVE.</t>
  </si>
  <si>
    <t>ELM STREET GRILL DARREN D</t>
  </si>
  <si>
    <t>1800 S ELM STREET</t>
  </si>
  <si>
    <t>BEAN BOX</t>
  </si>
  <si>
    <t>1500 N DUFF</t>
  </si>
  <si>
    <t>SEVERSON VARIETY MEATS LL</t>
  </si>
  <si>
    <t>SHARKYS PIZZERIA SIOUXLAN</t>
  </si>
  <si>
    <t>103 E 8TH ST</t>
  </si>
  <si>
    <t>MAIN STREET BAR &amp; GRILL</t>
  </si>
  <si>
    <t>939 BROADWAY</t>
  </si>
  <si>
    <t>CRAZY BOB'S - SIOUX CITY</t>
  </si>
  <si>
    <t>1800 PIERCE STREET</t>
  </si>
  <si>
    <t>RAMADA INN-MITCHELL</t>
  </si>
  <si>
    <t>1525 W HAVENS</t>
  </si>
  <si>
    <t>SPIRIT LAKE YOUTH ATHLETI</t>
  </si>
  <si>
    <t>P O BOX 193</t>
  </si>
  <si>
    <t>44-THE LISMORE</t>
  </si>
  <si>
    <t>2131 BRAEBURN PARKWAY</t>
  </si>
  <si>
    <t>IN</t>
  </si>
  <si>
    <t>46219</t>
  </si>
  <si>
    <t>DUGGERS CAFE</t>
  </si>
  <si>
    <t>4950 DODGE ST STE D</t>
  </si>
  <si>
    <t>BRACCO</t>
  </si>
  <si>
    <t>5001 S WESTERN AVE</t>
  </si>
  <si>
    <t>SENOR MAX'S</t>
  </si>
  <si>
    <t>1300 9TH AVE SE STE 30</t>
  </si>
  <si>
    <t>GRUMPY'S GRILL &amp; PUB</t>
  </si>
  <si>
    <t>104 3RD ST SW</t>
  </si>
  <si>
    <t>RED ROCK INN</t>
  </si>
  <si>
    <t>4208 W 41ST ST</t>
  </si>
  <si>
    <t>ROLLING WAITERS</t>
  </si>
  <si>
    <t>601 JAMES PLACE</t>
  </si>
  <si>
    <t>BRANDT CAFE &amp; LOUNGE</t>
  </si>
  <si>
    <t>114 MAIN ST</t>
  </si>
  <si>
    <t>BRANDT</t>
  </si>
  <si>
    <t>57218</t>
  </si>
  <si>
    <t>CASTLE PUB AND GRILL</t>
  </si>
  <si>
    <t>4400 SINGING HILL BLVD</t>
  </si>
  <si>
    <t>SHERA'S POP A TOP</t>
  </si>
  <si>
    <t>117 CHICAGO AVE E</t>
  </si>
  <si>
    <t>GOODWIN</t>
  </si>
  <si>
    <t>57238</t>
  </si>
  <si>
    <t>TOWNE PLACE SUITES</t>
  </si>
  <si>
    <t>4545 W HOMEFIELD DR</t>
  </si>
  <si>
    <t>LUCKY LANES</t>
  </si>
  <si>
    <t>2407 4TH AVE S</t>
  </si>
  <si>
    <t>BLUE'S SMOKE BBQ LLC</t>
  </si>
  <si>
    <t>LATTE' DA</t>
  </si>
  <si>
    <t>709 E. CHERRY</t>
  </si>
  <si>
    <t>FIRESIDE STEAKHOUSE &amp; LOU</t>
  </si>
  <si>
    <t>ZESTO DRIVE INN        GU</t>
  </si>
  <si>
    <t>1010 22ND AVE SOUTH</t>
  </si>
  <si>
    <t>CENTER INN</t>
  </si>
  <si>
    <t>900 E 20TH ST</t>
  </si>
  <si>
    <t>99-THE END ZONE-EDGERTON</t>
  </si>
  <si>
    <t>1000 S MAIN ST</t>
  </si>
  <si>
    <t>SNEAKY'S</t>
  </si>
  <si>
    <t>3711 GORDON DRIVE</t>
  </si>
  <si>
    <t>99-PIETZ'S KUCHEN KITCHEN</t>
  </si>
  <si>
    <t>800 4TH ST</t>
  </si>
  <si>
    <t>SCOTLAND</t>
  </si>
  <si>
    <t>TIM'S GRILL</t>
  </si>
  <si>
    <t>311 3RD ST</t>
  </si>
  <si>
    <t>57041</t>
  </si>
  <si>
    <t>BC BAKERY &amp; CAFE</t>
  </si>
  <si>
    <t>119 MAIN STREET</t>
  </si>
  <si>
    <t>BATTLE CREEK</t>
  </si>
  <si>
    <t>51006</t>
  </si>
  <si>
    <t>GUD N FREE</t>
  </si>
  <si>
    <t>3120 FLOYD BLVD</t>
  </si>
  <si>
    <t>CHILDRENS MUSEUM CAFE</t>
  </si>
  <si>
    <t>521 4TH STREET</t>
  </si>
  <si>
    <t>M'S ON 4TH</t>
  </si>
  <si>
    <t>1019 4TH STREET</t>
  </si>
  <si>
    <t>CHERRY STREET GRILLE</t>
  </si>
  <si>
    <t>1122 EAST CHERRY STREET</t>
  </si>
  <si>
    <t>WILLIES BAR</t>
  </si>
  <si>
    <t>208 S MAIN AVE</t>
  </si>
  <si>
    <t>OLDE BOSTON'S RESTAURANT</t>
  </si>
  <si>
    <t>809 CENTRAL AVE</t>
  </si>
  <si>
    <t>TACOS EL GUERO - HINTON</t>
  </si>
  <si>
    <t>201 E MAIN ST</t>
  </si>
  <si>
    <t>BACKROADS COFFEEHOUSE</t>
  </si>
  <si>
    <t>2991 14TH AVE NE</t>
  </si>
  <si>
    <t>J.C.'S DAIRY DEN</t>
  </si>
  <si>
    <t>420 W. ERIE STREET</t>
  </si>
  <si>
    <t>BREAD AND CIRCUS SANDWICH</t>
  </si>
  <si>
    <t>600 N MAIN AVE STE 110</t>
  </si>
  <si>
    <t>THE ROCK BAR AND GRILL</t>
  </si>
  <si>
    <t>1940 11TH AVE</t>
  </si>
  <si>
    <t>SHORTY'S</t>
  </si>
  <si>
    <t>507 N MAIN</t>
  </si>
  <si>
    <t>KALICO KATES</t>
  </si>
  <si>
    <t>411 4TH</t>
  </si>
  <si>
    <t>BINK'S DINER</t>
  </si>
  <si>
    <t>212 MAIN STREET</t>
  </si>
  <si>
    <t>LUNCH BOX</t>
  </si>
  <si>
    <t>116 CENTER ST BOX 234</t>
  </si>
  <si>
    <t>LAKE BENTON</t>
  </si>
  <si>
    <t>56149</t>
  </si>
  <si>
    <t>SPARETIME INC</t>
  </si>
  <si>
    <t>136 MAIN STREET</t>
  </si>
  <si>
    <t>COMFORT INN &amp; SUITES</t>
  </si>
  <si>
    <t>3721 W AVERA DR</t>
  </si>
  <si>
    <t>BRAMBLE PARK ZOO</t>
  </si>
  <si>
    <t>800 10TH ST NW</t>
  </si>
  <si>
    <t>HUNNY &amp; BUNNY</t>
  </si>
  <si>
    <t>2908 E RICE ST</t>
  </si>
  <si>
    <t>99-VALLEY VIEW GOLF COURS</t>
  </si>
  <si>
    <t>DA BRU</t>
  </si>
  <si>
    <t>505 W MAIN ST</t>
  </si>
  <si>
    <t>MY PLACE MOBILE CAFE</t>
  </si>
  <si>
    <t>44227 263RD ST</t>
  </si>
  <si>
    <t>2309 W 12TH ST</t>
  </si>
  <si>
    <t>NAUTICAL</t>
  </si>
  <si>
    <t>95 W BROADWAY ST</t>
  </si>
  <si>
    <t>SPENCER PRIME RIB, INC</t>
  </si>
  <si>
    <t>1205 S GRAND AVE</t>
  </si>
  <si>
    <t>MAINSTREET COFFEE SHOP</t>
  </si>
  <si>
    <t>110 W WHITED ST</t>
  </si>
  <si>
    <t>JEFFERS</t>
  </si>
  <si>
    <t>56145</t>
  </si>
  <si>
    <t>BUFFALO ALICE</t>
  </si>
  <si>
    <t>1022 4TH STREET</t>
  </si>
  <si>
    <t>YELLOW PERCH TAVERN</t>
  </si>
  <si>
    <t>310 EAST MAIN STREET</t>
  </si>
  <si>
    <t>99-ZAROTY</t>
  </si>
  <si>
    <t>3406 S MARION RD</t>
  </si>
  <si>
    <t>99-THE COTTAGE</t>
  </si>
  <si>
    <t>45909 E HWY 10</t>
  </si>
  <si>
    <t>99-CORNER BAR - VALLEY SP</t>
  </si>
  <si>
    <t>527 BROADWAY AVENUE</t>
  </si>
  <si>
    <t>FLOYD PARK GOLF COURSE</t>
  </si>
  <si>
    <t>2810 ORDWAY AVE.</t>
  </si>
  <si>
    <t>RYAN'S BAR &amp; GRILL</t>
  </si>
  <si>
    <t>111 BOULDERS DR</t>
  </si>
  <si>
    <t>THE DRIVE INN</t>
  </si>
  <si>
    <t>1123 AVE. E.</t>
  </si>
  <si>
    <t>KING KONG GYROS (DODGE)</t>
  </si>
  <si>
    <t>4409 DODGE STREET</t>
  </si>
  <si>
    <t>NEW HORIZON LOUNGE</t>
  </si>
  <si>
    <t>305 MAIN AVE W</t>
  </si>
  <si>
    <t>SMOKIN' JAKES--AP</t>
  </si>
  <si>
    <t>117 W BROADWAY</t>
  </si>
  <si>
    <t>SCHRANKS BAR&amp;GRILL DANBUR</t>
  </si>
  <si>
    <t>107 MAIN</t>
  </si>
  <si>
    <t>DANBURY</t>
  </si>
  <si>
    <t>51019</t>
  </si>
  <si>
    <t>SCHNITZ, THE</t>
  </si>
  <si>
    <t>217 5TH ST S</t>
  </si>
  <si>
    <t>JIM'S RIBHAVEN</t>
  </si>
  <si>
    <t>3801 AMES AVENUE</t>
  </si>
  <si>
    <t>68110</t>
  </si>
  <si>
    <t>STACI'S BAR &amp; GRILL</t>
  </si>
  <si>
    <t>217 MAIN ST</t>
  </si>
  <si>
    <t>WOODSTOCK</t>
  </si>
  <si>
    <t>56186</t>
  </si>
  <si>
    <t>402 W. FELBER ST.</t>
  </si>
  <si>
    <t>MIKE'S CAFE           M U</t>
  </si>
  <si>
    <t>1501 COLLEGE DR.</t>
  </si>
  <si>
    <t>MIDWAY CAFE</t>
  </si>
  <si>
    <t>101 N KINGSBURY AVE</t>
  </si>
  <si>
    <t>THUNDER VALLEY MERIDIAN C</t>
  </si>
  <si>
    <t>27417 THUNDER VALLEY AVE</t>
  </si>
  <si>
    <t>VOLIN COMMUNITY CAFE</t>
  </si>
  <si>
    <t>202 MAIL STREET</t>
  </si>
  <si>
    <t>CAMPESTRE MEXICAN RESTAUR</t>
  </si>
  <si>
    <t>PHAT PHEASANT PUB</t>
  </si>
  <si>
    <t>2370 HWY 60 E</t>
  </si>
  <si>
    <t>CC BAR AND GRILL</t>
  </si>
  <si>
    <t>121 KASAN AVE</t>
  </si>
  <si>
    <t>VOLGA</t>
  </si>
  <si>
    <t>AJ'S CHOW</t>
  </si>
  <si>
    <t>25115 450TH AVE</t>
  </si>
  <si>
    <t>SKYLINE BAR - NORTH SIOUX</t>
  </si>
  <si>
    <t>103 HWY 105</t>
  </si>
  <si>
    <t>WILLYS-MLGE INC.</t>
  </si>
  <si>
    <t>1401 9TH AVE SW</t>
  </si>
  <si>
    <t>MI PUEBLITO</t>
  </si>
  <si>
    <t>121 5TH AVE SW</t>
  </si>
  <si>
    <t>THE TAKE OUT &amp; CATERING</t>
  </si>
  <si>
    <t>808 E 3RD ST</t>
  </si>
  <si>
    <t>MAGNOLIA CAFE</t>
  </si>
  <si>
    <t>201 N BROADWAY</t>
  </si>
  <si>
    <t>MAGNOLIA</t>
  </si>
  <si>
    <t>56158</t>
  </si>
  <si>
    <t>DAKOTA ROSE CASINO</t>
  </si>
  <si>
    <t>103 MILITARY ROAD</t>
  </si>
  <si>
    <t>RICHY RICH CO LLC</t>
  </si>
  <si>
    <t>2000 LINCOLNSHIRE BLVD</t>
  </si>
  <si>
    <t>RIDGELAND</t>
  </si>
  <si>
    <t>MS</t>
  </si>
  <si>
    <t>39157</t>
  </si>
  <si>
    <t>GREEN VALLEY GOLF COURSE</t>
  </si>
  <si>
    <t>4300 DONNER AVE.</t>
  </si>
  <si>
    <t>CLEAR LAKE SUMMER REC</t>
  </si>
  <si>
    <t>203 5TH AVE N CL</t>
  </si>
  <si>
    <t>CLEAR LAKE</t>
  </si>
  <si>
    <t>57226</t>
  </si>
  <si>
    <t>PAULLINA GOLF CLUB</t>
  </si>
  <si>
    <t>4630 - 460TH STREET</t>
  </si>
  <si>
    <t>SAM'S GYROS</t>
  </si>
  <si>
    <t>3001 S 144TH STREET</t>
  </si>
  <si>
    <t>ROOKIES BAR</t>
  </si>
  <si>
    <t>710 DAKOTA AVENUE</t>
  </si>
  <si>
    <t>NANA'S FAMILY CAFE</t>
  </si>
  <si>
    <t>104 N MAIN ST</t>
  </si>
  <si>
    <t>NICKS HAMBURGER SHOP   GU</t>
  </si>
  <si>
    <t>PRAIRIE INN</t>
  </si>
  <si>
    <t>132 E MAIN ST</t>
  </si>
  <si>
    <t>CARTHAGE</t>
  </si>
  <si>
    <t>57323</t>
  </si>
  <si>
    <t>VIP GAMING LOUNGE</t>
  </si>
  <si>
    <t>107 MILITARY RD</t>
  </si>
  <si>
    <t>CRYSTAL CAFE</t>
  </si>
  <si>
    <t>4601 DAKOTA AVENUE</t>
  </si>
  <si>
    <t>JITTERS</t>
  </si>
  <si>
    <t>306 VIRGINIA STREET</t>
  </si>
  <si>
    <t>CAMPBELL'S KITCHEN</t>
  </si>
  <si>
    <t>339 MAIN ST</t>
  </si>
  <si>
    <t>ASTORIA</t>
  </si>
  <si>
    <t>57213</t>
  </si>
  <si>
    <t>HENDRICKS GOLF</t>
  </si>
  <si>
    <t>1035 NORTHSHORE DR</t>
  </si>
  <si>
    <t>WOK 'N GO</t>
  </si>
  <si>
    <t>2509 HAMILTON BLVD</t>
  </si>
  <si>
    <t>DANS PIZZA</t>
  </si>
  <si>
    <t>808 IOWA AVE.</t>
  </si>
  <si>
    <t>SHELBY COUNTY GOLF</t>
  </si>
  <si>
    <t>1243 CO ROAD F32</t>
  </si>
  <si>
    <t>AMIGOS BAR &amp; GRILL</t>
  </si>
  <si>
    <t>280 N 1ST ST</t>
  </si>
  <si>
    <t>ROB'S LOCKER &amp; CATERING</t>
  </si>
  <si>
    <t>1103 COTEAU ST</t>
  </si>
  <si>
    <t>SMOOT'S GRILL'N CHILL</t>
  </si>
  <si>
    <t>302 HWY 28</t>
  </si>
  <si>
    <t>ANIMAL'S BAR &amp; GRILL</t>
  </si>
  <si>
    <t>113 W MAIN ST</t>
  </si>
  <si>
    <t>CANOVA</t>
  </si>
  <si>
    <t>57321</t>
  </si>
  <si>
    <t>CLEAR LAKE BASEBALL ASSOC</t>
  </si>
  <si>
    <t>211 3RD AVE S</t>
  </si>
  <si>
    <t>99-SPORTSMANS PUB</t>
  </si>
  <si>
    <t>402 SOUTH MAIN</t>
  </si>
  <si>
    <t>99-CHERRYBEAN COFFEE CO.</t>
  </si>
  <si>
    <t>44931  280TH STREET</t>
  </si>
  <si>
    <t>99-RANDLES KITCHEN</t>
  </si>
  <si>
    <t>1303 N SPRING</t>
  </si>
  <si>
    <t>GREGG'S SUBSTATION</t>
  </si>
  <si>
    <t>1000 W 41ST ST</t>
  </si>
  <si>
    <t>99-CLEAVERS BAD DELI</t>
  </si>
  <si>
    <t>BADLANDS PAWN</t>
  </si>
  <si>
    <t>HARD ROCK - MAIN &amp; ABBEY</t>
  </si>
  <si>
    <t>DAVID'S (CLUB DAVID)</t>
  </si>
  <si>
    <t>214 W 10TH ST</t>
  </si>
  <si>
    <t>PIZZA RANCH -ROCK VALLEY</t>
  </si>
  <si>
    <t>1513 14TH ST</t>
  </si>
  <si>
    <t>A. HARSMA CONCESSIONS</t>
  </si>
  <si>
    <t>31390 470TH AVE.</t>
  </si>
  <si>
    <t>BURBANK</t>
  </si>
  <si>
    <t>57010</t>
  </si>
  <si>
    <t>TWO PALMS GRILL LLC</t>
  </si>
  <si>
    <t>526 LEROY ST</t>
  </si>
  <si>
    <t>AUDUBON</t>
  </si>
  <si>
    <t>50025</t>
  </si>
  <si>
    <t>CANDLEWOOD SUITE</t>
  </si>
  <si>
    <t>4720 SOUTHERN HILLS DRIVE</t>
  </si>
  <si>
    <t>BILL'S BURGER BARN</t>
  </si>
  <si>
    <t>1011 RAILROAD STREET</t>
  </si>
  <si>
    <t>99-BEER GARDEN</t>
  </si>
  <si>
    <t>206 RAILWAY ST</t>
  </si>
  <si>
    <t>RED BULL BAR &amp; GRILL</t>
  </si>
  <si>
    <t>29 MAIN</t>
  </si>
  <si>
    <t>HECK'S DAKOTA STYLE BBQ</t>
  </si>
  <si>
    <t>24 E CHERRY ST</t>
  </si>
  <si>
    <t>47409 258TH ST</t>
  </si>
  <si>
    <t>RENNER</t>
  </si>
  <si>
    <t>57055</t>
  </si>
  <si>
    <t>SCHWEDDYS HOTDOGKEITH ROB</t>
  </si>
  <si>
    <t>211 4TH ST</t>
  </si>
  <si>
    <t>CENTRAL CAFE</t>
  </si>
  <si>
    <t>815 CENTRAL AVENUE</t>
  </si>
  <si>
    <t>JR'S</t>
  </si>
  <si>
    <t>265 MAIN ST</t>
  </si>
  <si>
    <t>MELVIN</t>
  </si>
  <si>
    <t>51350</t>
  </si>
  <si>
    <t>MAMA'S PHRIED &amp; PHILLIES</t>
  </si>
  <si>
    <t>111 1/2 E 10TH ST</t>
  </si>
  <si>
    <t>RUSHMORE BAR</t>
  </si>
  <si>
    <t>120 THOMPSON AVE</t>
  </si>
  <si>
    <t>FETA'S GYROS &amp; CATERING</t>
  </si>
  <si>
    <t>743 N. 114TH STREET</t>
  </si>
  <si>
    <t>BROTHER SEBASTIAN'S STEAK</t>
  </si>
  <si>
    <t>1350 S 119TH ST</t>
  </si>
  <si>
    <t>NO ID'S GAMING PARLOUR</t>
  </si>
  <si>
    <t>109 S MAIN ST</t>
  </si>
  <si>
    <t>PHILLIPS AVENUE DINER</t>
  </si>
  <si>
    <t>121 S PHILLIPS AVE</t>
  </si>
  <si>
    <t>SUPER 8 MOTEL - MARSHALL</t>
  </si>
  <si>
    <t>1106 E MAIN ST</t>
  </si>
  <si>
    <t>THE HOMESTEAD</t>
  </si>
  <si>
    <t>116 E VERMONT AVE</t>
  </si>
  <si>
    <t>SWEET TREATS BY K &amp; B</t>
  </si>
  <si>
    <t>P O BOX 546</t>
  </si>
  <si>
    <t>SWAMP DADDY'S CAJUN KITCH</t>
  </si>
  <si>
    <t>2604 S KIERRA CT</t>
  </si>
  <si>
    <t>CRYSTAL ICE</t>
  </si>
  <si>
    <t>2705 W. 12TH ST.</t>
  </si>
  <si>
    <t>CROW'S NEST</t>
  </si>
  <si>
    <t>911 SOUTH 13TH ST</t>
  </si>
  <si>
    <t>BURNSIDE BINGO GAME PLACE</t>
  </si>
  <si>
    <t>1605 W BURNSIDE ST</t>
  </si>
  <si>
    <t>ADRIAN AREA COUNTRY CLUB</t>
  </si>
  <si>
    <t>849 MAINE ST</t>
  </si>
  <si>
    <t>513 LLC</t>
  </si>
  <si>
    <t>513 SOUTH GRAND</t>
  </si>
  <si>
    <t>CINDY'S STEAKHOUSE</t>
  </si>
  <si>
    <t>331 11TH ST SW</t>
  </si>
  <si>
    <t>LOS TACOS</t>
  </si>
  <si>
    <t>TWEETERS BAR &amp; GRILL</t>
  </si>
  <si>
    <t>1027 HWY 71 S</t>
  </si>
  <si>
    <t>LYON COUNTY FAIR</t>
  </si>
  <si>
    <t>504 FAIRGROUND ROAD</t>
  </si>
  <si>
    <t>EL TARASCO BAR</t>
  </si>
  <si>
    <t>123 CENTRAL AVE SW</t>
  </si>
  <si>
    <t>MRO - MISSOURI RIVER OUTD</t>
  </si>
  <si>
    <t>47674 327TH STREET</t>
  </si>
  <si>
    <t>PIZZA MAN OF SD - MARION</t>
  </si>
  <si>
    <t>807 S MARION RD</t>
  </si>
  <si>
    <t>OLD 60 STEAK &amp; CHOP</t>
  </si>
  <si>
    <t>1113 2ND AVE</t>
  </si>
  <si>
    <t>WAUBONSIE STATION</t>
  </si>
  <si>
    <t>901 MAIN STREET</t>
  </si>
  <si>
    <t>MITCHELL BOOSTER CLUB</t>
  </si>
  <si>
    <t>920 N CAPITAL ST</t>
  </si>
  <si>
    <t>HOMESTYLE CAFE LLC</t>
  </si>
  <si>
    <t>8807 MAPLE ST</t>
  </si>
  <si>
    <t>99-444 BAR &amp; GRILL</t>
  </si>
  <si>
    <t>460 DAKOTA AVE S</t>
  </si>
  <si>
    <t>THE INN AT BATTLE CREEK L</t>
  </si>
  <si>
    <t>201 MAPLE STREET</t>
  </si>
  <si>
    <t>MAIN STREET TAP</t>
  </si>
  <si>
    <t>316 MAIN STREET</t>
  </si>
  <si>
    <t>BANCROFT</t>
  </si>
  <si>
    <t>68004</t>
  </si>
  <si>
    <t>SHALOM ETHIOPIAN COFFEE</t>
  </si>
  <si>
    <t>1701 E 10TH ST</t>
  </si>
  <si>
    <t>212 BOILING POINT</t>
  </si>
  <si>
    <t>328 S SPLITROCK BLVD</t>
  </si>
  <si>
    <t>BJ'S FINE FOODS &amp; SPIRITS</t>
  </si>
  <si>
    <t>114 N WIND ST</t>
  </si>
  <si>
    <t>99-BATTLE CREEK STEAKHOUS</t>
  </si>
  <si>
    <t>TOPFS PLACE</t>
  </si>
  <si>
    <t>1866 HIGHWAY 141</t>
  </si>
  <si>
    <t>UDDER DELIGHTS</t>
  </si>
  <si>
    <t>209 E. 7TH</t>
  </si>
  <si>
    <t>WAYNE</t>
  </si>
  <si>
    <t>68787</t>
  </si>
  <si>
    <t>PONY CREEK STEAK HOUSE</t>
  </si>
  <si>
    <t>PO BOX 786</t>
  </si>
  <si>
    <t>45-RED CARPET LLC</t>
  </si>
  <si>
    <t>119 MAIN ST</t>
  </si>
  <si>
    <t>ESTELLINE</t>
  </si>
  <si>
    <t>57234</t>
  </si>
  <si>
    <t>IRENE'S CAFE</t>
  </si>
  <si>
    <t>112 S MAIN</t>
  </si>
  <si>
    <t>RED'S CAFE &amp; PASTRIES</t>
  </si>
  <si>
    <t>162 S. CENTRAL AVE.</t>
  </si>
  <si>
    <t>ONE-EYED JACKS</t>
  </si>
  <si>
    <t>3091 HAMILTON BLVD</t>
  </si>
  <si>
    <t>WOODY'S BAR-WOOD LAKE</t>
  </si>
  <si>
    <t>61 2ND AVE W</t>
  </si>
  <si>
    <t>WOOD LAKE</t>
  </si>
  <si>
    <t>56297</t>
  </si>
  <si>
    <t>WHIFFERS</t>
  </si>
  <si>
    <t>1133 N MINNESOTA AVE</t>
  </si>
  <si>
    <t>HAROLD'S KOFFEE HOUSE</t>
  </si>
  <si>
    <t>8327 NO 30TH ST</t>
  </si>
  <si>
    <t>BLACK &amp; WHITE CATERING</t>
  </si>
  <si>
    <t>5062 S 108TH ST # 227</t>
  </si>
  <si>
    <t>DAYS INN - MITCHELL</t>
  </si>
  <si>
    <t>1506 S BURR ST</t>
  </si>
  <si>
    <t>PHINNEYS PUB</t>
  </si>
  <si>
    <t>2101 BROADWAY</t>
  </si>
  <si>
    <t>THE BAR IN LAKE VIEW</t>
  </si>
  <si>
    <t>416 MAIN ST</t>
  </si>
  <si>
    <t>MORE CAFE</t>
  </si>
  <si>
    <t>241 N 2ND ST</t>
  </si>
  <si>
    <t>MILAN</t>
  </si>
  <si>
    <t>56262</t>
  </si>
  <si>
    <t>LAWTON LITTLE LEAGUE</t>
  </si>
  <si>
    <t>216 E. BIRCH STREET</t>
  </si>
  <si>
    <t>GYRO SHACK</t>
  </si>
  <si>
    <t>2202 SOUTH 20TH ST</t>
  </si>
  <si>
    <t>GARY WALKER  SGT BREW GRI</t>
  </si>
  <si>
    <t>701 1ST</t>
  </si>
  <si>
    <t>DESOTO INN - SGT BLUFF</t>
  </si>
  <si>
    <t>103 SGT SQUARE DR</t>
  </si>
  <si>
    <t>DANCELAND CAMPGROUND</t>
  </si>
  <si>
    <t>8510 DANCELAND RD</t>
  </si>
  <si>
    <t>KRAMER'S AUCTION LLC</t>
  </si>
  <si>
    <t>23460 467TH AVE</t>
  </si>
  <si>
    <t>COLMAN</t>
  </si>
  <si>
    <t>57017</t>
  </si>
  <si>
    <t>BUD'S BAR AND GRILL</t>
  </si>
  <si>
    <t>114 OAK ST</t>
  </si>
  <si>
    <t>HIGH MOUNTAIN SUPPER CLUB</t>
  </si>
  <si>
    <t>17530 SD HWY 15</t>
  </si>
  <si>
    <t>ALTAMONT</t>
  </si>
  <si>
    <t>EUNIS PLACE</t>
  </si>
  <si>
    <t>212 2ND STREET</t>
  </si>
  <si>
    <t>DIXON</t>
  </si>
  <si>
    <t>68732</t>
  </si>
  <si>
    <t>A-1 AL'S PHEASANT RANCH</t>
  </si>
  <si>
    <t>550 N 1ST AVE</t>
  </si>
  <si>
    <t>IRENE BAR &amp; GRILL</t>
  </si>
  <si>
    <t>222 WEST MAIN ST</t>
  </si>
  <si>
    <t>IRENE</t>
  </si>
  <si>
    <t>57037</t>
  </si>
  <si>
    <t>AFTER 5-MADISON MN</t>
  </si>
  <si>
    <t>205 8TH AVE S</t>
  </si>
  <si>
    <t>MELODY LANES BOWLING CENT</t>
  </si>
  <si>
    <t>568 S 1ST ST</t>
  </si>
  <si>
    <t>MONTEVIDEO</t>
  </si>
  <si>
    <t>56265</t>
  </si>
  <si>
    <t>HOT MAMMA MACK'S</t>
  </si>
  <si>
    <t>206 E KEMP AVE</t>
  </si>
  <si>
    <t>BIG DADDY D'S</t>
  </si>
  <si>
    <t>300 W 1ST AVE</t>
  </si>
  <si>
    <t>KETTLECORN KASTLE</t>
  </si>
  <si>
    <t>225 E 9TH ST</t>
  </si>
  <si>
    <t>GREEN DIAMOND</t>
  </si>
  <si>
    <t>89050 570TH AVE</t>
  </si>
  <si>
    <t>SKATE CITY SD</t>
  </si>
  <si>
    <t>2901 W 3RD ST</t>
  </si>
  <si>
    <t>PD'S BAR</t>
  </si>
  <si>
    <t>120 N THOMPSON AVE</t>
  </si>
  <si>
    <t>RANDALL'S MILAN BEACH RES</t>
  </si>
  <si>
    <t>18095 HWY 40 NW</t>
  </si>
  <si>
    <t>WESTPHALIA CLUB HOUSE</t>
  </si>
  <si>
    <t>405 DUREN STREET</t>
  </si>
  <si>
    <t>WESTPHALIA</t>
  </si>
  <si>
    <t>51578</t>
  </si>
  <si>
    <t>REGATTA GRILLE</t>
  </si>
  <si>
    <t>1520 E LAKESHORE DR</t>
  </si>
  <si>
    <t>THE WILMONT SALOON</t>
  </si>
  <si>
    <t>J &amp; F MINI DONUTS</t>
  </si>
  <si>
    <t>706 GRAND AVE</t>
  </si>
  <si>
    <t>MIDDLE OF NOWHERE</t>
  </si>
  <si>
    <t>112 MAIN STREET</t>
  </si>
  <si>
    <t>SAFARI BAR &amp; GRILL LLC</t>
  </si>
  <si>
    <t>25795 475TH AVE STE 3</t>
  </si>
  <si>
    <t>PATA'S BBQ AND WINGS</t>
  </si>
  <si>
    <t>808 S SANBORN BLVD</t>
  </si>
  <si>
    <t>TUPHAT GIRLS CATERING</t>
  </si>
  <si>
    <t>2106 HWY 75</t>
  </si>
  <si>
    <t>HOT POT BUFFET</t>
  </si>
  <si>
    <t>3101 W 41ST ST STE 105</t>
  </si>
  <si>
    <t>CONNEXIONS</t>
  </si>
  <si>
    <t>5409 W 41ST ST</t>
  </si>
  <si>
    <t>MAC'S CAFE</t>
  </si>
  <si>
    <t>1755 N BELL ST</t>
  </si>
  <si>
    <t>REBOS</t>
  </si>
  <si>
    <t>1107 4TH STREET</t>
  </si>
  <si>
    <t>S SHORE COMM CLUB-CALL AH</t>
  </si>
  <si>
    <t>100 MAIN ST</t>
  </si>
  <si>
    <t>GRAHAM'S GRILL &amp; PUB</t>
  </si>
  <si>
    <t>201 TOWER RD # 1</t>
  </si>
  <si>
    <t>BACK DRAFT BAR &amp; GRILL</t>
  </si>
  <si>
    <t>119 N MAIN ST</t>
  </si>
  <si>
    <t>BROWNS EVENT CENTER</t>
  </si>
  <si>
    <t>10 CENTRAL AVE SE</t>
  </si>
  <si>
    <t>99-THE LYONS DEN</t>
  </si>
  <si>
    <t>516 MAIN AVE</t>
  </si>
  <si>
    <t>REFEREE</t>
  </si>
  <si>
    <t>5322 W 26TH ST</t>
  </si>
  <si>
    <t>BOOTLEGGERS</t>
  </si>
  <si>
    <t>WESTSIDE LITTLE LEAGUE</t>
  </si>
  <si>
    <t>PO BOX 2723</t>
  </si>
  <si>
    <t>99-BALTIC LOUNGE &amp; CANTIN</t>
  </si>
  <si>
    <t>104 LOVELY AVE</t>
  </si>
  <si>
    <t>BALTIC</t>
  </si>
  <si>
    <t>57003</t>
  </si>
  <si>
    <t>OVER TIME PROPERTIES</t>
  </si>
  <si>
    <t>716 N ROWLEY ST</t>
  </si>
  <si>
    <t>HITCHING POST</t>
  </si>
  <si>
    <t>THE GREEN</t>
  </si>
  <si>
    <t>CORNER CAFE - DOON</t>
  </si>
  <si>
    <t>228 MAIN STREET</t>
  </si>
  <si>
    <t>57135</t>
  </si>
  <si>
    <t>SMOKIN' BARRELS</t>
  </si>
  <si>
    <t>MI PUEBLO</t>
  </si>
  <si>
    <t>118 S FRONT STREET</t>
  </si>
  <si>
    <t>FRESH HORSES SALOON</t>
  </si>
  <si>
    <t>308 WILLOW</t>
  </si>
  <si>
    <t>BREDA GOLF CLUB</t>
  </si>
  <si>
    <t>16323 120TH ST</t>
  </si>
  <si>
    <t>BREDA</t>
  </si>
  <si>
    <t>51436</t>
  </si>
  <si>
    <t>KEGGERS BAR</t>
  </si>
  <si>
    <t>34 W CENTER AVE</t>
  </si>
  <si>
    <t>CLARA CITY</t>
  </si>
  <si>
    <t>GEORGE'S HOTDOG SHOP</t>
  </si>
  <si>
    <t>1419 HAMILTON</t>
  </si>
  <si>
    <t>PLAN B BAR &amp; GRILL</t>
  </si>
  <si>
    <t>BOX 145</t>
  </si>
  <si>
    <t>CLASSIC CHEF</t>
  </si>
  <si>
    <t>3813 E STEEPLE ST</t>
  </si>
  <si>
    <t>MAMA'S LADAS</t>
  </si>
  <si>
    <t>116 W 11TH ST</t>
  </si>
  <si>
    <t>CARL'S CORNER</t>
  </si>
  <si>
    <t>21378 1ST ST</t>
  </si>
  <si>
    <t>ESSIG</t>
  </si>
  <si>
    <t>STUBBIES BAR &amp; GRILL</t>
  </si>
  <si>
    <t>5024 S CLIFF AVE</t>
  </si>
  <si>
    <t>PEP'S PUB</t>
  </si>
  <si>
    <t>180 N MAIN ST</t>
  </si>
  <si>
    <t>KAYLOR</t>
  </si>
  <si>
    <t>57354</t>
  </si>
  <si>
    <t>AHMAD'S</t>
  </si>
  <si>
    <t>1006 HOWARD STREET</t>
  </si>
  <si>
    <t>68102</t>
  </si>
  <si>
    <t>OVERTIME SPORTS GRILL &amp; B</t>
  </si>
  <si>
    <t>4529 E 26TH ST</t>
  </si>
  <si>
    <t>WATERING CAN CAFE</t>
  </si>
  <si>
    <t>304 N 2ND AVE</t>
  </si>
  <si>
    <t>REVILLO</t>
  </si>
  <si>
    <t>57259</t>
  </si>
  <si>
    <t>WOODEN NICKEL  M GU</t>
  </si>
  <si>
    <t>448 MAIN ST WEST</t>
  </si>
  <si>
    <t>RAM PUB                GU</t>
  </si>
  <si>
    <t>BEEF N BREW</t>
  </si>
  <si>
    <t>418 MAIN STREET</t>
  </si>
  <si>
    <t>99-CHARLEY'S @ THE GOSS</t>
  </si>
  <si>
    <t>100 EAST KEMP</t>
  </si>
  <si>
    <t>ECONOLODGE</t>
  </si>
  <si>
    <t>400 E HIGHWAY 10</t>
  </si>
  <si>
    <t>BOB ROE'S NORTH END ZONE</t>
  </si>
  <si>
    <t>4100 FLOYD BLVD</t>
  </si>
  <si>
    <t>MADISON AQUATIC CENTER</t>
  </si>
  <si>
    <t>1000 NW 1ST ST</t>
  </si>
  <si>
    <t>YOGURT PLUS LLC</t>
  </si>
  <si>
    <t>217 S 25TH ST B8</t>
  </si>
  <si>
    <t>BREEZY BARN</t>
  </si>
  <si>
    <t>52 TEPEEOTAH RD</t>
  </si>
  <si>
    <t>3013 HAMILTON BLVD.</t>
  </si>
  <si>
    <t>TRAILS EDGE</t>
  </si>
  <si>
    <t>3 STATE PARK RD</t>
  </si>
  <si>
    <t>PEDERBERG'S</t>
  </si>
  <si>
    <t>322 3RD AVE</t>
  </si>
  <si>
    <t>YUMMY EATS &amp; TREATS</t>
  </si>
  <si>
    <t>235 OAK ST</t>
  </si>
  <si>
    <t>CRAIG</t>
  </si>
  <si>
    <t>THE CRAVE</t>
  </si>
  <si>
    <t>1110 LARSEN PARK ROAD</t>
  </si>
  <si>
    <t>PAR MAR VALLEY</t>
  </si>
  <si>
    <t>45112 SD HWY 44</t>
  </si>
  <si>
    <t>DONNA'S CAFE</t>
  </si>
  <si>
    <t>411 2ND STREET</t>
  </si>
  <si>
    <t>DEDHAM</t>
  </si>
  <si>
    <t>51440</t>
  </si>
  <si>
    <t>THE LODGE</t>
  </si>
  <si>
    <t>THE BARREL HOUSE</t>
  </si>
  <si>
    <t>4701 E 54TH ST</t>
  </si>
  <si>
    <t>ROWDY HOG SMOKIN BBQ</t>
  </si>
  <si>
    <t>923 S MARION RD</t>
  </si>
  <si>
    <t>99-CORNER CUP</t>
  </si>
  <si>
    <t>149 N MAIN ST</t>
  </si>
  <si>
    <t>BLUESTEM CATERING CO</t>
  </si>
  <si>
    <t>602 E MAIN ST</t>
  </si>
  <si>
    <t>RONNIE'S BAR</t>
  </si>
  <si>
    <t>230 S. 13TH STREET</t>
  </si>
  <si>
    <t>DOUBLE P RANCH</t>
  </si>
  <si>
    <t>42617 183RD ST</t>
  </si>
  <si>
    <t>PRINCE'S TAVERN</t>
  </si>
  <si>
    <t>1920 CENTER STREET</t>
  </si>
  <si>
    <t>GOBBLER'S ROOST CAFE</t>
  </si>
  <si>
    <t>700 E 48TH ST N</t>
  </si>
  <si>
    <t>4 BROTHERS BAR &amp; GRILL</t>
  </si>
  <si>
    <t>1430 TWO RIVERS BLVD.</t>
  </si>
  <si>
    <t>CLAY COUNTY EVENTS CENTER</t>
  </si>
  <si>
    <t>800 WEST 18TH STREET</t>
  </si>
  <si>
    <t>ECONOLODGE - LEMARS</t>
  </si>
  <si>
    <t>1201 HAWKEYE AVE SW</t>
  </si>
  <si>
    <t>CUBBYS SPORTS BAR &amp; GRILL</t>
  </si>
  <si>
    <t>307 MAIN AVE</t>
  </si>
  <si>
    <t>SUPER 8</t>
  </si>
  <si>
    <t>PEPPER SLOUGH LODGE</t>
  </si>
  <si>
    <t>216 N PINE ST</t>
  </si>
  <si>
    <t>SQUIRRELS BAR &amp; GRILL</t>
  </si>
  <si>
    <t>105 SW 1ST AVE</t>
  </si>
  <si>
    <t>FAIRFAX</t>
  </si>
  <si>
    <t>55332</t>
  </si>
  <si>
    <t>FAIRCHILD'S</t>
  </si>
  <si>
    <t>108 W MAIN</t>
  </si>
  <si>
    <t>TOWNHOUSE--SO SOO</t>
  </si>
  <si>
    <t>103 E 18TH ST</t>
  </si>
  <si>
    <t>THE POCKET</t>
  </si>
  <si>
    <t>301 S THOMPSON AVE</t>
  </si>
  <si>
    <t>SHERRIE'S CAFE</t>
  </si>
  <si>
    <t>1005 ATLANTIC AVE</t>
  </si>
  <si>
    <t>KERKHOVEN</t>
  </si>
  <si>
    <t>56252</t>
  </si>
  <si>
    <t>MAIN STREET PUB</t>
  </si>
  <si>
    <t>408 MAIN AVE</t>
  </si>
  <si>
    <t>JUST CHILLN'</t>
  </si>
  <si>
    <t>314 ELM AVE</t>
  </si>
  <si>
    <t>DIGGERS DUSTY ROSE</t>
  </si>
  <si>
    <t>305 MAIN STREET</t>
  </si>
  <si>
    <t>HUBBARD</t>
  </si>
  <si>
    <t>68741</t>
  </si>
  <si>
    <t>SANDY'S BAR</t>
  </si>
  <si>
    <t>100 3RD AVE</t>
  </si>
  <si>
    <t>POPPADOX</t>
  </si>
  <si>
    <t>2808 S MINNESOTA AVE</t>
  </si>
  <si>
    <t>RINGNECK LODGE</t>
  </si>
  <si>
    <t>619 1ST AVE W</t>
  </si>
  <si>
    <t>ECONO LODGE</t>
  </si>
  <si>
    <t>5100 N CLIFF AVE</t>
  </si>
  <si>
    <t>99-SOUTH BAR</t>
  </si>
  <si>
    <t>107 S MAIN AVE</t>
  </si>
  <si>
    <t>HARRISBURG BP</t>
  </si>
  <si>
    <t>315 W WILLOW ST</t>
  </si>
  <si>
    <t>OASIS BAR</t>
  </si>
  <si>
    <t>600 EUCLID AVE</t>
  </si>
  <si>
    <t>MILROY</t>
  </si>
  <si>
    <t>56263</t>
  </si>
  <si>
    <t>KNIGHTS CATERING</t>
  </si>
  <si>
    <t>315 N SUMMIT AVE</t>
  </si>
  <si>
    <t>99-SAN MIGUEL RESTAURANT</t>
  </si>
  <si>
    <t>HOME PLATE CATERING</t>
  </si>
  <si>
    <t>844 WEST ST</t>
  </si>
  <si>
    <t>OLD FARMHOUSE</t>
  </si>
  <si>
    <t>304 4TH ST</t>
  </si>
  <si>
    <t>CHESTER</t>
  </si>
  <si>
    <t>57016</t>
  </si>
  <si>
    <t>THE LIMIT</t>
  </si>
  <si>
    <t>316 3RD ST</t>
  </si>
  <si>
    <t>CLINTON</t>
  </si>
  <si>
    <t>56225</t>
  </si>
  <si>
    <t>JACKYS RESTAURANT - BENSO</t>
  </si>
  <si>
    <t>1301 E BENSON RD</t>
  </si>
  <si>
    <t>GRAND FALLS CASINO RESORT</t>
  </si>
  <si>
    <t>1415 GRAND FALLS BLVD</t>
  </si>
  <si>
    <t>MAIN ST BAR &amp; GRILL</t>
  </si>
  <si>
    <t>345 MAIN ST N</t>
  </si>
  <si>
    <t>RENVILLE</t>
  </si>
  <si>
    <t>56284</t>
  </si>
  <si>
    <t>THE GOLDEN PHEASANT</t>
  </si>
  <si>
    <t>44028 HIGHWAY 3</t>
  </si>
  <si>
    <t>PERERA'S LOUNGE</t>
  </si>
  <si>
    <t>RIDE OR DINE</t>
  </si>
  <si>
    <t>530 MAIN STREET</t>
  </si>
  <si>
    <t>BIG DADDY'S CONCESSION</t>
  </si>
  <si>
    <t>* * * VENDOR AT FAIR * *</t>
  </si>
  <si>
    <t>DARI KING-REDWOOD FALLS</t>
  </si>
  <si>
    <t>711 E BRIDGE ST</t>
  </si>
  <si>
    <t>GOLDEN BOWL CHINESE RESTA</t>
  </si>
  <si>
    <t>1408 HAMILTON BLVD</t>
  </si>
  <si>
    <t>TACOS EL GUERO</t>
  </si>
  <si>
    <t>525 PEARL ST</t>
  </si>
  <si>
    <t>DORTS BAR</t>
  </si>
  <si>
    <t>129 NORTH WASHINGTON</t>
  </si>
  <si>
    <t>PAPILLION</t>
  </si>
  <si>
    <t>68046</t>
  </si>
  <si>
    <t>VALLEY CORNER BAR</t>
  </si>
  <si>
    <t>527 BROADWAY AVE</t>
  </si>
  <si>
    <t>IRON MIKE'S BAR &amp; GRILL</t>
  </si>
  <si>
    <t>423 MAIN ST</t>
  </si>
  <si>
    <t>PERFECT PRAC GAME CHG CON</t>
  </si>
  <si>
    <t>300 W INDUSTRIAL DR</t>
  </si>
  <si>
    <t>ROYAL RIVER CASINO - SNAC</t>
  </si>
  <si>
    <t>NICK'S GYROS</t>
  </si>
  <si>
    <t>1512 W 41ST ST</t>
  </si>
  <si>
    <t>JOHNA'S CATERING SERIVCE</t>
  </si>
  <si>
    <t>106 W 7TH ST</t>
  </si>
  <si>
    <t>THE BAR LAKE VIEW NEW</t>
  </si>
  <si>
    <t>416 MAIN STREET</t>
  </si>
  <si>
    <t>CAROL'S KITCHEN</t>
  </si>
  <si>
    <t>40985 C70</t>
  </si>
  <si>
    <t>UT CATERING</t>
  </si>
  <si>
    <t>308 S DEPOT AVE</t>
  </si>
  <si>
    <t>JJ'S</t>
  </si>
  <si>
    <t>831 N MUNSTERMAN ST</t>
  </si>
  <si>
    <t>WALKER'S INC</t>
  </si>
  <si>
    <t>301 TIPTON</t>
  </si>
  <si>
    <t>SALIX</t>
  </si>
  <si>
    <t>51052</t>
  </si>
  <si>
    <t>HAMPTON INN - SF SWEET SH</t>
  </si>
  <si>
    <t>LA JUANITA INC</t>
  </si>
  <si>
    <t>1316 PIERCE STREET</t>
  </si>
  <si>
    <t>99-PARKER'S</t>
  </si>
  <si>
    <t>210 S MAIN AVE</t>
  </si>
  <si>
    <t>MOREAU'S BACKEREI</t>
  </si>
  <si>
    <t>407 MAIN STREET</t>
  </si>
  <si>
    <t>TJ KERNERS</t>
  </si>
  <si>
    <t>P K EGAN'S RESTAURANT</t>
  </si>
  <si>
    <t>115 ST OLAF AVE N</t>
  </si>
  <si>
    <t>GYRO HOUSE</t>
  </si>
  <si>
    <t>1503 GALVIN RD S #7</t>
  </si>
  <si>
    <t>STREET EAT'N</t>
  </si>
  <si>
    <t>7300 W STRABONE ST</t>
  </si>
  <si>
    <t>99-2 GUYS BBQ CHARGER CAF</t>
  </si>
  <si>
    <t>203 MAIN AVE</t>
  </si>
  <si>
    <t>KLASSIX INC</t>
  </si>
  <si>
    <t>206 NORTH 3RD ST</t>
  </si>
  <si>
    <t>HILLCREST COUNTRY CLUB</t>
  </si>
  <si>
    <t>2206 MULBERRY ST</t>
  </si>
  <si>
    <t>BREDA BAR AND GRILL</t>
  </si>
  <si>
    <t>LEGENDARY RED CARPET</t>
  </si>
  <si>
    <t>119 N MAIN STREET</t>
  </si>
  <si>
    <t>SHELBY COUNTY GOLF COURSE</t>
  </si>
  <si>
    <t>1243 STREET F32</t>
  </si>
  <si>
    <t>THE CO-OP BAR &amp; GRILL</t>
  </si>
  <si>
    <t>714 S EAST ST</t>
  </si>
  <si>
    <t>POMEROY</t>
  </si>
  <si>
    <t>50575</t>
  </si>
  <si>
    <t>99-COUNTRY HOST RESTAURAN</t>
  </si>
  <si>
    <t>TIP TOP INC.</t>
  </si>
  <si>
    <t>46399 US HWY 212</t>
  </si>
  <si>
    <t>DAKOTA GRILLS CATERING</t>
  </si>
  <si>
    <t>110 CALUMET AVE SE</t>
  </si>
  <si>
    <t>SADDLE CLUB</t>
  </si>
  <si>
    <t>1 KUESTER LAKE</t>
  </si>
  <si>
    <t>68801</t>
  </si>
  <si>
    <t>GREENDOOR STEAKHOUSE</t>
  </si>
  <si>
    <t>3375 220TH AVE N</t>
  </si>
  <si>
    <t>WANDA'S COFFEE CUP CAFE</t>
  </si>
  <si>
    <t>720 6TH ST</t>
  </si>
  <si>
    <t>FIRST ICE</t>
  </si>
  <si>
    <t>3473 ELMWOOD AVE</t>
  </si>
  <si>
    <t>THUNDERBIRD LODGE</t>
  </si>
  <si>
    <t>1601 S BURR ST</t>
  </si>
  <si>
    <t>MAIN STREET CAFE</t>
  </si>
  <si>
    <t>112 N MAIN ST</t>
  </si>
  <si>
    <t>HARRISBURG BASEBALL ASSN</t>
  </si>
  <si>
    <t>1408 N TAHOE TRAIL</t>
  </si>
  <si>
    <t>DUKE'S CORNER CAFE</t>
  </si>
  <si>
    <t>MAIN AND HIGHWAY 68</t>
  </si>
  <si>
    <t>STOMPING GROUNDS LLC</t>
  </si>
  <si>
    <t>700 N VANDEMARK, STE 110</t>
  </si>
  <si>
    <t>JOSIES CAFE</t>
  </si>
  <si>
    <t>200 PARKER AVENUE</t>
  </si>
  <si>
    <t>WHITE</t>
  </si>
  <si>
    <t>57276</t>
  </si>
  <si>
    <t>BEST WESTERN U-BAR MOTEL</t>
  </si>
  <si>
    <t>130 ASH ST</t>
  </si>
  <si>
    <t>JA-MAR DRIVE-IN</t>
  </si>
  <si>
    <t>329 S 25TH ST</t>
  </si>
  <si>
    <t>NW POTTAWATTAMIE CO GOLF</t>
  </si>
  <si>
    <t>29512 285TH ST</t>
  </si>
  <si>
    <t>NEOLA</t>
  </si>
  <si>
    <t>51559</t>
  </si>
  <si>
    <t>SAM'S GYROS-SC</t>
  </si>
  <si>
    <t>4400 SERGEANT RD STE 206</t>
  </si>
  <si>
    <t>JOSE'S FAMILY RESTAURANT</t>
  </si>
  <si>
    <t>1401 PIERCE STREET</t>
  </si>
  <si>
    <t>TRIPP SPORT BOWL</t>
  </si>
  <si>
    <t>210 S MAIN ST</t>
  </si>
  <si>
    <t>CRAZY BOB'S AT THE INN</t>
  </si>
  <si>
    <t>3301 LAKESHORE DR</t>
  </si>
  <si>
    <t>99-MOONLIGHT BAR &amp; LOUNGE</t>
  </si>
  <si>
    <t>511 N MAIN ST</t>
  </si>
  <si>
    <t>AJS FAMILY CORP DBA JEFFE</t>
  </si>
  <si>
    <t>110 WHITED ST</t>
  </si>
  <si>
    <t>TACOS MOMIA</t>
  </si>
  <si>
    <t>1100 NEBRASKA ST</t>
  </si>
  <si>
    <t>HARRY A'S YELLOW SUBMARIN</t>
  </si>
  <si>
    <t>900 S WILLIAMS AVE</t>
  </si>
  <si>
    <t>JACKSON GOLF CLUB</t>
  </si>
  <si>
    <t>951 HIGHWAY 71 N</t>
  </si>
  <si>
    <t>LA LUNA</t>
  </si>
  <si>
    <t>701 N PHILLIPS AVE</t>
  </si>
  <si>
    <t>MADISON COUNTRY CLUB</t>
  </si>
  <si>
    <t>45152 233RD ST</t>
  </si>
  <si>
    <t>844 WEST STREET</t>
  </si>
  <si>
    <t>LAKES ON 1ST</t>
  </si>
  <si>
    <t>510 1ST NORTH ST</t>
  </si>
  <si>
    <t>THE FENCE-POST</t>
  </si>
  <si>
    <t>1449 BENTON</t>
  </si>
  <si>
    <t>LITTLE SIOUX</t>
  </si>
  <si>
    <t>51545</t>
  </si>
  <si>
    <t>PINTS N QUARTS</t>
  </si>
  <si>
    <t>313 MAIN AVE</t>
  </si>
  <si>
    <t>NALINI'S GYROS &amp; BURGERS</t>
  </si>
  <si>
    <t>14544 W CENTER RD</t>
  </si>
  <si>
    <t>NORSEMAN BBQ LLC</t>
  </si>
  <si>
    <t>215 BISON TRL</t>
  </si>
  <si>
    <t>COOKS  IRENE BAR &amp; GRILL</t>
  </si>
  <si>
    <t>222 WEST MAIN STREET</t>
  </si>
  <si>
    <t>GREEK TO ME</t>
  </si>
  <si>
    <t>5714 SUNNYBROOK DRIVE</t>
  </si>
  <si>
    <t>KEBOBS GYROS &amp; BRATS</t>
  </si>
  <si>
    <t>8388 WEBSTER STREET</t>
  </si>
  <si>
    <t>BREAD BOX</t>
  </si>
  <si>
    <t>403 MAIN STREET</t>
  </si>
  <si>
    <t>BITTONS ROADHOUSE NEW</t>
  </si>
  <si>
    <t>DUNLAP GOLF CLUB</t>
  </si>
  <si>
    <t>PO BOX 38</t>
  </si>
  <si>
    <t>TEASERS</t>
  </si>
  <si>
    <t>LEFT BANK CAFE</t>
  </si>
  <si>
    <t>2600 BROADWAY AVE</t>
  </si>
  <si>
    <t>NORSEMAN</t>
  </si>
  <si>
    <t>103 SE 3RD ST</t>
  </si>
  <si>
    <t>INDIAN BOWL-INDIAN LANES</t>
  </si>
  <si>
    <t>211 NORTH 13TH STREET</t>
  </si>
  <si>
    <t>BB'S PUB N GRILL</t>
  </si>
  <si>
    <t>3400 W 49TH ST #102</t>
  </si>
  <si>
    <t>BAACKERS</t>
  </si>
  <si>
    <t>123 CALUMET AVE SE</t>
  </si>
  <si>
    <t>JOE'S SUBSTATION</t>
  </si>
  <si>
    <t>148 SUBSTATION DRIVE</t>
  </si>
  <si>
    <t>LESTERVILLE</t>
  </si>
  <si>
    <t>57040</t>
  </si>
  <si>
    <t>STATELINE BAR &amp; GRILL</t>
  </si>
  <si>
    <t>4000 EDGEWATER DR</t>
  </si>
  <si>
    <t>RAMONA BAR</t>
  </si>
  <si>
    <t>211 E MAIN</t>
  </si>
  <si>
    <t>MAYFIELD BAR &amp; GRILL</t>
  </si>
  <si>
    <t>44398 SD HWY 46</t>
  </si>
  <si>
    <t>BUNYANS</t>
  </si>
  <si>
    <t>1201 W MAIN</t>
  </si>
  <si>
    <t>VIETNAMESE CUISINE</t>
  </si>
  <si>
    <t>6909 SOUTH 157TH ST</t>
  </si>
  <si>
    <t>68136</t>
  </si>
  <si>
    <t>DIVIDE HILL BAR &amp; GRILL</t>
  </si>
  <si>
    <t>15298 COUNTY HWY L20</t>
  </si>
  <si>
    <t>OVATIONS FOOD SERVICES</t>
  </si>
  <si>
    <t>1201 N WEST AVE</t>
  </si>
  <si>
    <t>TRACY GOLF/COUNTRY CLUB</t>
  </si>
  <si>
    <t>10752 US HWY 14</t>
  </si>
  <si>
    <t>1015 STEAK COMPANY LLC</t>
  </si>
  <si>
    <t>DEB'S CATERING</t>
  </si>
  <si>
    <t>104 NORTH FRANKLIN</t>
  </si>
  <si>
    <t>TUG'S</t>
  </si>
  <si>
    <t>1825 235TH ST</t>
  </si>
  <si>
    <t>LOS PANCHOS</t>
  </si>
  <si>
    <t>101 PARK ST</t>
  </si>
  <si>
    <t>75 DINER LLC</t>
  </si>
  <si>
    <t>920 S KNISS AVE</t>
  </si>
  <si>
    <t>JIM'S BURGERS #4</t>
  </si>
  <si>
    <t>2500 GORDON DRIVE</t>
  </si>
  <si>
    <t>DAYS INN - YANKTON</t>
  </si>
  <si>
    <t>2410 BROADWAY AVE</t>
  </si>
  <si>
    <t>120 MAIN EVENTS LLC</t>
  </si>
  <si>
    <t>120 N MAIN AVE</t>
  </si>
  <si>
    <t>B &amp; G MILKY WAY</t>
  </si>
  <si>
    <t>721 S SYCAMORE AVE</t>
  </si>
  <si>
    <t>LAURIE'S CAFE</t>
  </si>
  <si>
    <t>219 E 6TH ST</t>
  </si>
  <si>
    <t>CARNICERIA NAYARIT</t>
  </si>
  <si>
    <t>602 CENTRAL AVE</t>
  </si>
  <si>
    <t>FERNSON DOWNTOWN</t>
  </si>
  <si>
    <t>332 S PHILLIPS AVE</t>
  </si>
  <si>
    <t>99-JIM'S BURGERS</t>
  </si>
  <si>
    <t>1200 S MINNESOTA AVE</t>
  </si>
  <si>
    <t>TOKYO JAPANESE STKHS &amp; SU</t>
  </si>
  <si>
    <t>4567 SOUTHERN HILLS DRIVE</t>
  </si>
  <si>
    <t>TEA STEAK HOUSE</t>
  </si>
  <si>
    <t>215 S MAIN ST</t>
  </si>
  <si>
    <t>TEA</t>
  </si>
  <si>
    <t>57064</t>
  </si>
  <si>
    <t>THE DIVE IN</t>
  </si>
  <si>
    <t>1601 S WESTERN AVE</t>
  </si>
  <si>
    <t>PONDEROSA - EMPLOYEE ACCO</t>
  </si>
  <si>
    <t>99-M &amp; CA RESTAURANTE</t>
  </si>
  <si>
    <t>HARBOR CAFE &amp; MARKETPLACE</t>
  </si>
  <si>
    <t>610 HARTFORD</t>
  </si>
  <si>
    <t>FARRAGUT</t>
  </si>
  <si>
    <t>51639</t>
  </si>
  <si>
    <t>ARLINGTON INN MOTEL</t>
  </si>
  <si>
    <t>402 HWY 14 &amp; 81 S</t>
  </si>
  <si>
    <t>BOAT HOUSE</t>
  </si>
  <si>
    <t>504 LAKE AVE</t>
  </si>
  <si>
    <t>PRIME TIME TAVERN</t>
  </si>
  <si>
    <t>BROKINGS FUTBOL CLUB</t>
  </si>
  <si>
    <t>330 21ST AVE</t>
  </si>
  <si>
    <t>THE END ZONE BAR &amp; GRILL</t>
  </si>
  <si>
    <t>306 MAIN ST</t>
  </si>
  <si>
    <t>BAYARD</t>
  </si>
  <si>
    <t>50029</t>
  </si>
  <si>
    <t>RUNTS BAR &amp; GRILL</t>
  </si>
  <si>
    <t>100 N. BROADWAY</t>
  </si>
  <si>
    <t>EL JIMADOR INC.</t>
  </si>
  <si>
    <t>2506 4TH AVE S</t>
  </si>
  <si>
    <t>TJZ BAR &amp; RESTAURANT</t>
  </si>
  <si>
    <t>311 E 4TH ST</t>
  </si>
  <si>
    <t>MURRAY COUNTY SPEEDWAY</t>
  </si>
  <si>
    <t>3100 BROADWAY AVE</t>
  </si>
  <si>
    <t>SUPER 8 MOTEL - MILBANK</t>
  </si>
  <si>
    <t>1205 E 4TH AVE</t>
  </si>
  <si>
    <t>FAIRVIEW HILLS</t>
  </si>
  <si>
    <t>61453 315TH STREET</t>
  </si>
  <si>
    <t>THE BRANDING IRON CONCESS</t>
  </si>
  <si>
    <t>5800 STONE AVE</t>
  </si>
  <si>
    <t>BOB ROE'S</t>
  </si>
  <si>
    <t>2320 TRANSIT AVE.</t>
  </si>
  <si>
    <t>COMMERCE STREET GRILLE</t>
  </si>
  <si>
    <t>118 N MAIN</t>
  </si>
  <si>
    <t>MADONNA ROSE CAFE</t>
  </si>
  <si>
    <t>4006 MORNINGSIDE AVE</t>
  </si>
  <si>
    <t>BELLEVUE SENIOR CITIZEN C</t>
  </si>
  <si>
    <t>109 WEST 22ND AVENUE</t>
  </si>
  <si>
    <t>DELUX MOTEL</t>
  </si>
  <si>
    <t>516 E MAIN ST</t>
  </si>
  <si>
    <t>11 W MAIN</t>
  </si>
  <si>
    <t>99-T.H.E. CONCESSIONS</t>
  </si>
  <si>
    <t>707 W 11TH ST</t>
  </si>
  <si>
    <t>KINGSBURY COUNTY COUNTRY</t>
  </si>
  <si>
    <t>PO BOX 465</t>
  </si>
  <si>
    <t>TROY'S BAR &amp; GRILL</t>
  </si>
  <si>
    <t>111 MAIN STREET</t>
  </si>
  <si>
    <t>RED OAK TAP</t>
  </si>
  <si>
    <t>419 REED STREET</t>
  </si>
  <si>
    <t>RED OAK</t>
  </si>
  <si>
    <t>51566</t>
  </si>
  <si>
    <t>MEMORIES BAR &amp; GRILL</t>
  </si>
  <si>
    <t>311 CEDAR STREET</t>
  </si>
  <si>
    <t>ALPINE SPORTS BAR &amp; CASIN</t>
  </si>
  <si>
    <t>MELVEE'S INC</t>
  </si>
  <si>
    <t>107 3RD AVE S</t>
  </si>
  <si>
    <t>NORMA JEANS</t>
  </si>
  <si>
    <t>120 MAIN STREET</t>
  </si>
  <si>
    <t>PANAMA</t>
  </si>
  <si>
    <t>51562</t>
  </si>
  <si>
    <t>TAIL FEATHERS</t>
  </si>
  <si>
    <t>916 3RD AVE S</t>
  </si>
  <si>
    <t>THE GRIND CAFE &amp; LOUNGE</t>
  </si>
  <si>
    <t>LUCKY'S</t>
  </si>
  <si>
    <t>224 S PHILLIPS AVE</t>
  </si>
  <si>
    <t>LUPITA'S TACOS</t>
  </si>
  <si>
    <t>THE CLARAMONT STEAK&amp;CHOP</t>
  </si>
  <si>
    <t>117 E 2ND ST</t>
  </si>
  <si>
    <t>GRANDMA'S ATTIC</t>
  </si>
  <si>
    <t>302 MAIN</t>
  </si>
  <si>
    <t>MOB'S CAFE &amp; LOUNGE</t>
  </si>
  <si>
    <t>317 S GILMORE ST</t>
  </si>
  <si>
    <t>GILMORE CITY</t>
  </si>
  <si>
    <t>50541</t>
  </si>
  <si>
    <t>LOGAN-MISSOURI VALLEY CNT</t>
  </si>
  <si>
    <t>2455 HWY 30</t>
  </si>
  <si>
    <t>CJ'S AT THE WELLINGTON</t>
  </si>
  <si>
    <t>101 E MAIN ST</t>
  </si>
  <si>
    <t>STONEY CREEK GOLF COURSE</t>
  </si>
  <si>
    <t>21278 820TH AVE</t>
  </si>
  <si>
    <t>BLUES FAMILY RESTAURANT</t>
  </si>
  <si>
    <t>175 W 3RD ST</t>
  </si>
  <si>
    <t>NORTHRIDGE COUNTRY CLUB</t>
  </si>
  <si>
    <t>3398 CR H</t>
  </si>
  <si>
    <t>TINNER'S BAR &amp; GRILL</t>
  </si>
  <si>
    <t>99-FILLING STATION</t>
  </si>
  <si>
    <t>919 13TH ST</t>
  </si>
  <si>
    <t>CLARKFIELD</t>
  </si>
  <si>
    <t>56223</t>
  </si>
  <si>
    <t>THE STABLE</t>
  </si>
  <si>
    <t>911 S 13TH ST</t>
  </si>
  <si>
    <t>P'S PIZZA HOUSE - ORANGE</t>
  </si>
  <si>
    <t>HIGH GROUND CAFE  ESPRESS</t>
  </si>
  <si>
    <t>202 N DERBY LN</t>
  </si>
  <si>
    <t>THE OTHER BAR</t>
  </si>
  <si>
    <t>911 CENTRAL AVE</t>
  </si>
  <si>
    <t>KRAUSE'S TAP</t>
  </si>
  <si>
    <t>GROAT'S BOAR NEST</t>
  </si>
  <si>
    <t>309 S 1ST ST</t>
  </si>
  <si>
    <t>STONE SOUP CAFE STONE SOU</t>
  </si>
  <si>
    <t>1446 MAIN ST</t>
  </si>
  <si>
    <t>99-HOT RODS STEAKHOUSE</t>
  </si>
  <si>
    <t>900 S HWY 273</t>
  </si>
  <si>
    <t>KENNEBEC</t>
  </si>
  <si>
    <t>57544</t>
  </si>
  <si>
    <t>J &amp; E NAVARRETTE</t>
  </si>
  <si>
    <t>2324 SO. HENRY</t>
  </si>
  <si>
    <t>4TH STREET DEPOT</t>
  </si>
  <si>
    <t>300 S 4TH ST</t>
  </si>
  <si>
    <t>RED EYE BAR,THE</t>
  </si>
  <si>
    <t>5013 N CLIFF AVE</t>
  </si>
  <si>
    <t>JUNIE'S BBQ</t>
  </si>
  <si>
    <t>3505 350TH AVE</t>
  </si>
  <si>
    <t>CHEETA'S BAR &amp; GRILL</t>
  </si>
  <si>
    <t>201 CEDAR</t>
  </si>
  <si>
    <t>CHAD ANDERSEN-CHEN ENTERP</t>
  </si>
  <si>
    <t>101 OHIO STREET</t>
  </si>
  <si>
    <t>WAKONDA</t>
  </si>
  <si>
    <t>57073</t>
  </si>
  <si>
    <t>STATE LINE BAR/GRILL</t>
  </si>
  <si>
    <t>4000 EDGEWATER DRIVE</t>
  </si>
  <si>
    <t>MARV'S BAR &amp; GRILL</t>
  </si>
  <si>
    <t>1ST MAIN</t>
  </si>
  <si>
    <t>UTICA</t>
  </si>
  <si>
    <t>57067</t>
  </si>
  <si>
    <t>OLE REDS EATERY</t>
  </si>
  <si>
    <t>237TH ST.</t>
  </si>
  <si>
    <t>DAYS INN - SIOUX FALLS AI</t>
  </si>
  <si>
    <t>5001 N CLIFF AVE</t>
  </si>
  <si>
    <t>GATEWAY LOUNGE</t>
  </si>
  <si>
    <t>3408 S GATEWAY BLVD</t>
  </si>
  <si>
    <t>MISSISSIPPI SMOKE</t>
  </si>
  <si>
    <t>1018 E HERMOSA DR</t>
  </si>
  <si>
    <t>HARD ROCK - FUEL AMERICAN</t>
  </si>
  <si>
    <t>WILD WATER WEST</t>
  </si>
  <si>
    <t>99-LUCKY HORSESHOE BAR</t>
  </si>
  <si>
    <t>320 N MAIN AVE</t>
  </si>
  <si>
    <t>LAUREL RIDGE BARN</t>
  </si>
  <si>
    <t>47677 SLIP UP CREEK RD</t>
  </si>
  <si>
    <t>POP'S CAFE INC.</t>
  </si>
  <si>
    <t>613 FLINDT DRIVE</t>
  </si>
  <si>
    <t>99-THIRSTY DUCK - BAR</t>
  </si>
  <si>
    <t>ALIBIS</t>
  </si>
  <si>
    <t>PRAIRIE WINDS GOLF LLC</t>
  </si>
  <si>
    <t>555 S LAKE DRIVE</t>
  </si>
  <si>
    <t>ECONOLODGE YANKTON</t>
  </si>
  <si>
    <t>611 W 23RD ST</t>
  </si>
  <si>
    <t>COUNTRY PUMPKIN</t>
  </si>
  <si>
    <t>3263 1ST STREET</t>
  </si>
  <si>
    <t>BOYER</t>
  </si>
  <si>
    <t>51448</t>
  </si>
  <si>
    <t>WOODY'S PUB</t>
  </si>
  <si>
    <t>900 S MARION RD</t>
  </si>
  <si>
    <t>LIL NIKKIE'S CAFE</t>
  </si>
  <si>
    <t>911 SOUTH 13TH</t>
  </si>
  <si>
    <t>HAZEL COMMUNITY CAFE LLC</t>
  </si>
  <si>
    <t>16 WILLIAMS ST</t>
  </si>
  <si>
    <t>HAZEL</t>
  </si>
  <si>
    <t>57242</t>
  </si>
  <si>
    <t>THE MERAKI</t>
  </si>
  <si>
    <t>206 MAIN AVE</t>
  </si>
  <si>
    <t>BELLINGHAM</t>
  </si>
  <si>
    <t>56212</t>
  </si>
  <si>
    <t>CORNER CAFE - MARION</t>
  </si>
  <si>
    <t>317 N BROADWAY</t>
  </si>
  <si>
    <t>99-SHADY DRIVE INN</t>
  </si>
  <si>
    <t>124 W HWY 30</t>
  </si>
  <si>
    <t>STORDEN</t>
  </si>
  <si>
    <t>56174</t>
  </si>
  <si>
    <t>CORNER CAFE /H H AND H</t>
  </si>
  <si>
    <t>200 OAK STREET</t>
  </si>
  <si>
    <t>BRUNSVILLE</t>
  </si>
  <si>
    <t>51008</t>
  </si>
  <si>
    <t>OLLIE'S DRIVE INN</t>
  </si>
  <si>
    <t>411 E. ROSE ST.</t>
  </si>
  <si>
    <t>LITTLE CHICAGO DT</t>
  </si>
  <si>
    <t>99 THE STABLE</t>
  </si>
  <si>
    <t>BURGER TIME - LEWIS</t>
  </si>
  <si>
    <t>200 SOUTH LEWIS AVE</t>
  </si>
  <si>
    <t>BAAKERS 2</t>
  </si>
  <si>
    <t>ELITE CAFE &amp; CATERING</t>
  </si>
  <si>
    <t>3501 AVIATION AVE</t>
  </si>
  <si>
    <t>WHIMP'S PLACE</t>
  </si>
  <si>
    <t>32028 WHITE STREET</t>
  </si>
  <si>
    <t>MAMMA MIA</t>
  </si>
  <si>
    <t>819 E 7TH ST</t>
  </si>
  <si>
    <t>MILROY FUN FEST</t>
  </si>
  <si>
    <t>14355 290TH ST</t>
  </si>
  <si>
    <t>BIRDS NEST,THE</t>
  </si>
  <si>
    <t>44522 236TH ST</t>
  </si>
  <si>
    <t>WINFRED</t>
  </si>
  <si>
    <t>57076</t>
  </si>
  <si>
    <t>4700 41ST ST</t>
  </si>
  <si>
    <t>O'HARA'S STEAKHOUSE</t>
  </si>
  <si>
    <t>501 ANN ST</t>
  </si>
  <si>
    <t>MARTO BREWING COMPANY</t>
  </si>
  <si>
    <t>930 4TH ST</t>
  </si>
  <si>
    <t>LUCKY BUCK'S CASINO</t>
  </si>
  <si>
    <t>1428 NW 2ND</t>
  </si>
  <si>
    <t>LOOKOUT BAR &amp; GRILL</t>
  </si>
  <si>
    <t>116 1ST AVE E</t>
  </si>
  <si>
    <t>DEMPSEY'S BREWERY &amp; PUB</t>
  </si>
  <si>
    <t>127 N BROADWAY</t>
  </si>
  <si>
    <t>THE DAIRY DANDY</t>
  </si>
  <si>
    <t>1126 2ND AVE</t>
  </si>
  <si>
    <t>VIKING BAY SPORT BAR</t>
  </si>
  <si>
    <t>112 N 5TH STREET</t>
  </si>
  <si>
    <t>KOLDY'S SPORTS BAR AND GR</t>
  </si>
  <si>
    <t>1301 MAIN ST</t>
  </si>
  <si>
    <t>HARD ROCK - WORLD TOUR BU</t>
  </si>
  <si>
    <t>BAYMONT INN</t>
  </si>
  <si>
    <t>3101 W. RUSSELL ST</t>
  </si>
  <si>
    <t>GENO'S STEAKHOUSE</t>
  </si>
  <si>
    <t>121 W. 1ST</t>
  </si>
  <si>
    <t>WHEATIES SPORTS BAR</t>
  </si>
  <si>
    <t>112 CALUMET AVE SE</t>
  </si>
  <si>
    <t>SPRUCE STREET CAFE</t>
  </si>
  <si>
    <t>1801 E SPRUCE</t>
  </si>
  <si>
    <t>OH BABY O SOFT PRETZEL SH</t>
  </si>
  <si>
    <t>727 S BROADWAY STE 2</t>
  </si>
  <si>
    <t>DESOTO INN &amp; SUITES MO VA</t>
  </si>
  <si>
    <t>1967 HIGHWAY 30</t>
  </si>
  <si>
    <t>HARR'S STEAK HOUSE</t>
  </si>
  <si>
    <t>3200 N 240TH ST.</t>
  </si>
  <si>
    <t>WATERLOO</t>
  </si>
  <si>
    <t>68069</t>
  </si>
  <si>
    <t>CLUB VEGA</t>
  </si>
  <si>
    <t>144 S MAIN</t>
  </si>
  <si>
    <t>KIMBALL</t>
  </si>
  <si>
    <t>3125 S. 72ND STREET</t>
  </si>
  <si>
    <t>68124</t>
  </si>
  <si>
    <t>GRAN'MA SMARTS HOME STYLE</t>
  </si>
  <si>
    <t>32023 COUNTY HWY E. 60</t>
  </si>
  <si>
    <t>LINDA'S CONCESSIONS</t>
  </si>
  <si>
    <t>P.O. BOX 1581</t>
  </si>
  <si>
    <t>57101</t>
  </si>
  <si>
    <t>PASQUALE'E ITALIAN RESTAU</t>
  </si>
  <si>
    <t>607 13TH STREET N</t>
  </si>
  <si>
    <t>BLUE CAFE ON THE BLOCK</t>
  </si>
  <si>
    <t>1301 PIERCE STREET</t>
  </si>
  <si>
    <t>JAKE'S PLACE</t>
  </si>
  <si>
    <t>THE RUSTY NAIL</t>
  </si>
  <si>
    <t>221 GARFIELD ST</t>
  </si>
  <si>
    <t>ROADHOUSE</t>
  </si>
  <si>
    <t>713 MAIN ST</t>
  </si>
  <si>
    <t>WABASSO</t>
  </si>
  <si>
    <t>56293</t>
  </si>
  <si>
    <t>99-FIRESIDE EVENT CENTER</t>
  </si>
  <si>
    <t>RED ROOF INN</t>
  </si>
  <si>
    <t>LOMITA'S MEXICAN RESTAURA</t>
  </si>
  <si>
    <t>STEINBECK'S PUB &amp; GRILL</t>
  </si>
  <si>
    <t>3929 FLOYD BLVD</t>
  </si>
  <si>
    <t>99-EASTWAY SPORTS LOUNGE</t>
  </si>
  <si>
    <t>3201 E 10TH ST</t>
  </si>
  <si>
    <t>JOE'S KOPPER KETTLE</t>
  </si>
  <si>
    <t>1151 SPRUCE ST</t>
  </si>
  <si>
    <t>ALEXANDRIA</t>
  </si>
  <si>
    <t>BUS STOP GRILL</t>
  </si>
  <si>
    <t>301 W ELM ST</t>
  </si>
  <si>
    <t>BOBCATS LLC</t>
  </si>
  <si>
    <t>112 WEAVER ST</t>
  </si>
  <si>
    <t>LINN GROVE</t>
  </si>
  <si>
    <t>51033</t>
  </si>
  <si>
    <t>99-JAC'S</t>
  </si>
  <si>
    <t>530 MAIN ST</t>
  </si>
  <si>
    <t>CRYSTAL ICE-HOWARD WOOD F</t>
  </si>
  <si>
    <t>2000 W RUSSELL ST</t>
  </si>
  <si>
    <t>MARY LOU &amp; ETHEL'S KITCHE</t>
  </si>
  <si>
    <t>109 1ST STREET</t>
  </si>
  <si>
    <t>THE BUCK SNORT</t>
  </si>
  <si>
    <t>113 4TH ST</t>
  </si>
  <si>
    <t>PATSY'S PLACE</t>
  </si>
  <si>
    <t>824 SHAKESPEARE</t>
  </si>
  <si>
    <t>STRATFORD</t>
  </si>
  <si>
    <t>50249</t>
  </si>
  <si>
    <t>MILLERS' KITCHEN</t>
  </si>
  <si>
    <t>812 IOWA AVENUE</t>
  </si>
  <si>
    <t>ROSEY'S MEXICAN RESTAURAN</t>
  </si>
  <si>
    <t>311 MAIN ST</t>
  </si>
  <si>
    <t>CONNERS BAR</t>
  </si>
  <si>
    <t>115 S WASHINGTON ST</t>
  </si>
  <si>
    <t>HEF'S</t>
  </si>
  <si>
    <t>405 E 4TH ST</t>
  </si>
  <si>
    <t>UPPER CUT</t>
  </si>
  <si>
    <t>2819 E 10TH ST</t>
  </si>
  <si>
    <t>WADDY'S LLC WADDY'S BAR &amp;</t>
  </si>
  <si>
    <t>313 WHEELOCK ST</t>
  </si>
  <si>
    <t>HUDSON</t>
  </si>
  <si>
    <t>57034</t>
  </si>
  <si>
    <t>99-THE DEPOT</t>
  </si>
  <si>
    <t>GINK'S GARAGE</t>
  </si>
  <si>
    <t>318 S MAIN ST</t>
  </si>
  <si>
    <t>ROBERTO'S PIZZA</t>
  </si>
  <si>
    <t>800 IA 39</t>
  </si>
  <si>
    <t>ADRIAN COUNTRY LIVING COT</t>
  </si>
  <si>
    <t>200 W 7TH ST</t>
  </si>
  <si>
    <t>TEAZER'S TAP</t>
  </si>
  <si>
    <t>1221 BROADWAY</t>
  </si>
  <si>
    <t>JUST ONE MORE</t>
  </si>
  <si>
    <t>99-THE LAZY DRAGON</t>
  </si>
  <si>
    <t>705 2ND AVE N</t>
  </si>
  <si>
    <t>99-DAREO'S PIZZA - S MINN</t>
  </si>
  <si>
    <t>2920 S MINNESOTA AVE</t>
  </si>
  <si>
    <t>BOXER BBQ COMPANY</t>
  </si>
  <si>
    <t>722 1/2 CREEK TOP</t>
  </si>
  <si>
    <t>MILROY IRISH BASEBALL</t>
  </si>
  <si>
    <t>28633 DAYTON AVENUE</t>
  </si>
  <si>
    <t>TOKYO JAPANESE CUISINE</t>
  </si>
  <si>
    <t>4825 S LOUISE AVE</t>
  </si>
  <si>
    <t>GYROS &amp; MORE</t>
  </si>
  <si>
    <t>6717 S AVALON AVE</t>
  </si>
  <si>
    <t>BEER CITY</t>
  </si>
  <si>
    <t>128 S WASHINGTON</t>
  </si>
  <si>
    <t>COTTONWOOD COUNTRY CLUB</t>
  </si>
  <si>
    <t>233 SHOREVIEW DR</t>
  </si>
  <si>
    <t>KING KONG GYROS (S.13TH)</t>
  </si>
  <si>
    <t>3362 SOUTH 13TH STREET</t>
  </si>
  <si>
    <t>LUCIANO'S</t>
  </si>
  <si>
    <t>1021 4TH ST</t>
  </si>
  <si>
    <t>THE BACK FORTY</t>
  </si>
  <si>
    <t>317 MAIN STREET</t>
  </si>
  <si>
    <t>MACEDONIA</t>
  </si>
  <si>
    <t>51549</t>
  </si>
  <si>
    <t>KNOTTY PINE SUPPER CLUB</t>
  </si>
  <si>
    <t>1014 COUNTY HIGHWAY 10</t>
  </si>
  <si>
    <t>ELKTON</t>
  </si>
  <si>
    <t>MEL'S DINER</t>
  </si>
  <si>
    <t>4240 N BROAD ST</t>
  </si>
  <si>
    <t>SANDALZ BAR &amp; GRILL</t>
  </si>
  <si>
    <t>331 2ND AVE N</t>
  </si>
  <si>
    <t>99-IRENES CAFE</t>
  </si>
  <si>
    <t>115 S MAIN</t>
  </si>
  <si>
    <t>GRINGO'S MEXICAN BAR &amp; GR</t>
  </si>
  <si>
    <t>SILVERBACKS</t>
  </si>
  <si>
    <t>318 MAIN ST</t>
  </si>
  <si>
    <t>TIGER'S DEN</t>
  </si>
  <si>
    <t>315 W WILLOW</t>
  </si>
  <si>
    <t>BAXTERZ BAR &amp; GRILL</t>
  </si>
  <si>
    <t>135 S. GREEN AVENUE</t>
  </si>
  <si>
    <t>PRIMGHAR</t>
  </si>
  <si>
    <t>51245</t>
  </si>
  <si>
    <t>RIGGIN FLIGHT SERVICE</t>
  </si>
  <si>
    <t>1600 AIRPORT DRIVE</t>
  </si>
  <si>
    <t>RAILSIDE CAFE</t>
  </si>
  <si>
    <t>211 MAIN ST</t>
  </si>
  <si>
    <t>ALVORD</t>
  </si>
  <si>
    <t>51230</t>
  </si>
  <si>
    <t>45-JJ'S BILLIARDS</t>
  </si>
  <si>
    <t>309 S ELMWOOD AVE</t>
  </si>
  <si>
    <t>KB'S BAR AND GRILL</t>
  </si>
  <si>
    <t>100 E BURLINGAME ST</t>
  </si>
  <si>
    <t>GHENT</t>
  </si>
  <si>
    <t>56239</t>
  </si>
  <si>
    <t>GREEN DIAMOND CAFE</t>
  </si>
  <si>
    <t>89050 570 TH AVE</t>
  </si>
  <si>
    <t>THE MILANESIAN CAFE</t>
  </si>
  <si>
    <t>BIG BEARS BBQ LLC</t>
  </si>
  <si>
    <t>311 WEST PARK AVE</t>
  </si>
  <si>
    <t>JONESY'S CORNER</t>
  </si>
  <si>
    <t>2752 W BROADWAY</t>
  </si>
  <si>
    <t>WHISTLESTOP</t>
  </si>
  <si>
    <t>1220 ATLANTIC AVE</t>
  </si>
  <si>
    <t>MISSION COFFEE HOUSE</t>
  </si>
  <si>
    <t>337 8TH ST</t>
  </si>
  <si>
    <t>BERTZ SPORTS BAR &amp; GRILL</t>
  </si>
  <si>
    <t>210 N 17TH ST</t>
  </si>
  <si>
    <t>TRAVELERS</t>
  </si>
  <si>
    <t>920 14TH ST SE</t>
  </si>
  <si>
    <t>CROW BAR</t>
  </si>
  <si>
    <t>2805 S MINNESOTA AVE</t>
  </si>
  <si>
    <t>D'S THAI</t>
  </si>
  <si>
    <t>1201 SUSAN DR</t>
  </si>
  <si>
    <t>SPORT BOWL EMPLOYEES</t>
  </si>
  <si>
    <t>EMERALD ISLE</t>
  </si>
  <si>
    <t>100 RAILROAD STREET</t>
  </si>
  <si>
    <t>IMOGENE</t>
  </si>
  <si>
    <t>51645</t>
  </si>
  <si>
    <t>101 S PHILLIPS AVE</t>
  </si>
  <si>
    <t>BACKROADS STEAKHOUSE &amp; LO</t>
  </si>
  <si>
    <t>630 E RUTON AVE</t>
  </si>
  <si>
    <t>BUGATTIS</t>
  </si>
  <si>
    <t>BRANDON STEAK HOUSE</t>
  </si>
  <si>
    <t>1308 E RUSHMORE DR</t>
  </si>
  <si>
    <t>BOTSKI'S</t>
  </si>
  <si>
    <t>1914 S SYCAMORE AVE</t>
  </si>
  <si>
    <t>SPEEDWAY BAR &amp; GRILL</t>
  </si>
  <si>
    <t>221 E 3RD AVE</t>
  </si>
  <si>
    <t>KITCHEN SISTERS</t>
  </si>
  <si>
    <t>407 HWY 191</t>
  </si>
  <si>
    <t>WARE'S SOUL FOOD</t>
  </si>
  <si>
    <t>719 W 11TH ST</t>
  </si>
  <si>
    <t>STEVE DAMELE CAFE</t>
  </si>
  <si>
    <t>3500 SARATOGA AVE</t>
  </si>
  <si>
    <t>ND</t>
  </si>
  <si>
    <t>58503</t>
  </si>
  <si>
    <t>DOCK 44 A&amp;E MARINA</t>
  </si>
  <si>
    <t>35324 SD HIGHWAY 44</t>
  </si>
  <si>
    <t>JB'S BAR N GRILL</t>
  </si>
  <si>
    <t>410 N MAIN</t>
  </si>
  <si>
    <t>DEE'S CAFE LLC</t>
  </si>
  <si>
    <t>110 N MAIN</t>
  </si>
  <si>
    <t>2020 HIGHLAND WAY</t>
  </si>
  <si>
    <t>99 JIMS BURGERS #5</t>
  </si>
  <si>
    <t>400 WASHINGTON STREET</t>
  </si>
  <si>
    <t>P'S PIZZA HOUSE</t>
  </si>
  <si>
    <t>630 8TH AVENUE SW</t>
  </si>
  <si>
    <t>MOJOS</t>
  </si>
  <si>
    <t>113 E 3RD STREET</t>
  </si>
  <si>
    <t>10TH STREET PUB</t>
  </si>
  <si>
    <t>202 10TH ST</t>
  </si>
  <si>
    <t>MG OIL PRAIRIE LANES</t>
  </si>
  <si>
    <t>SHIP WRECK</t>
  </si>
  <si>
    <t>23925 464TH AVE</t>
  </si>
  <si>
    <t>STEVE'S BAR</t>
  </si>
  <si>
    <t>106 W 3RD ST</t>
  </si>
  <si>
    <t>TRENT</t>
  </si>
  <si>
    <t>57065</t>
  </si>
  <si>
    <t>MILROY YANKEES</t>
  </si>
  <si>
    <t>100 EUCLID</t>
  </si>
  <si>
    <t>916 13TH ST SW</t>
  </si>
  <si>
    <t>BLUE MOUNTAIN EMPORIUM</t>
  </si>
  <si>
    <t>814 LINCOLN PL SE</t>
  </si>
  <si>
    <t>PLAZA GRILLE</t>
  </si>
  <si>
    <t>225 10TH ST</t>
  </si>
  <si>
    <t>PIZZA RANCH - GEORGE</t>
  </si>
  <si>
    <t>108 E MICHIGAN AVE</t>
  </si>
  <si>
    <t>BLACKBIRD BEND CASINO</t>
  </si>
  <si>
    <t>17214 210TH ST</t>
  </si>
  <si>
    <t>BLUE TE QUILA</t>
  </si>
  <si>
    <t>148 GAUL DR</t>
  </si>
  <si>
    <t>BOXCAR BEEF &amp; DOGS</t>
  </si>
  <si>
    <t>4604 W 12TH ST</t>
  </si>
  <si>
    <t>GET YOUR GRUB ON</t>
  </si>
  <si>
    <t>2008 W 15TH ST</t>
  </si>
  <si>
    <t>FORT RANDALL CASINO &amp; HOT</t>
  </si>
  <si>
    <t>38538 SD HWY 46</t>
  </si>
  <si>
    <t>LAKE ANDES</t>
  </si>
  <si>
    <t>57356</t>
  </si>
  <si>
    <t>MISS CHRISTY'S SUGAR SHAC</t>
  </si>
  <si>
    <t>307 HIGHWAY 92</t>
  </si>
  <si>
    <t>CARSON</t>
  </si>
  <si>
    <t>51525</t>
  </si>
  <si>
    <t>BRANDING IRON STEAKHOUSE</t>
  </si>
  <si>
    <t>&amp; SALOON</t>
  </si>
  <si>
    <t>CARBON</t>
  </si>
  <si>
    <t>50839</t>
  </si>
  <si>
    <t>99-LOS PAISANOS RESTAURAN</t>
  </si>
  <si>
    <t>802 E 10TH ST</t>
  </si>
  <si>
    <t>99-BOGTROTTER'S PUB</t>
  </si>
  <si>
    <t>THE JUNKYARD BAR &amp; GRILL</t>
  </si>
  <si>
    <t>322 FRONT STREET</t>
  </si>
  <si>
    <t>BARNUM</t>
  </si>
  <si>
    <t>50518</t>
  </si>
  <si>
    <t>WILDCAT CHOWDOWN</t>
  </si>
  <si>
    <t>1787 NORTH 182</t>
  </si>
  <si>
    <t>HOMESTYLE CAFE</t>
  </si>
  <si>
    <t>8807 MAPLE STREET</t>
  </si>
  <si>
    <t>COMMUNITY TAP &amp; PIZZA/SMO</t>
  </si>
  <si>
    <t>2026 5TH AVE S</t>
  </si>
  <si>
    <t>SHORTY'S HOT DOGS</t>
  </si>
  <si>
    <t>21-22 E MACHINERY ROAD</t>
  </si>
  <si>
    <t>KAHILLS FISH &amp; STEAK HOUS</t>
  </si>
  <si>
    <t>4TH &amp; B STREET</t>
  </si>
  <si>
    <t>99-COUNTRYVIEW</t>
  </si>
  <si>
    <t>111 CALUMET AVE SE</t>
  </si>
  <si>
    <t>THE SHOWBOAT PAVILLION</t>
  </si>
  <si>
    <t>114 CENTER ST S</t>
  </si>
  <si>
    <t>COMFORT SUITES-WORTHINGTO</t>
  </si>
  <si>
    <t>1447 PRAIRIE DR</t>
  </si>
  <si>
    <t>CASTAWAY'S</t>
  </si>
  <si>
    <t>GRANVILLE LITTLE LEAGUE</t>
  </si>
  <si>
    <t>470 BROAD STREET</t>
  </si>
  <si>
    <t>MIKE'S DELI</t>
  </si>
  <si>
    <t>601 S 7TH ST</t>
  </si>
  <si>
    <t>ADA J'S FEEDBUNK</t>
  </si>
  <si>
    <t>101 RAILROAD STREET</t>
  </si>
  <si>
    <t>THE BROASTER</t>
  </si>
  <si>
    <t>745 US HWY 212</t>
  </si>
  <si>
    <t>BIRD ISLAND</t>
  </si>
  <si>
    <t>55310</t>
  </si>
  <si>
    <t>99-HAASE'S BAR &amp; GRILL</t>
  </si>
  <si>
    <t>175 N MAIN</t>
  </si>
  <si>
    <t>HAMPTON INN &amp; SUITES-BROO</t>
  </si>
  <si>
    <t>3017 LEFEVRE DR</t>
  </si>
  <si>
    <t>VINNYS BBQ</t>
  </si>
  <si>
    <t>507 MAIN STREET</t>
  </si>
  <si>
    <t>50529</t>
  </si>
  <si>
    <t>CHANDLER'S VALLEY GRILL</t>
  </si>
  <si>
    <t>420 MAIN ST</t>
  </si>
  <si>
    <t>CHANDLER</t>
  </si>
  <si>
    <t>56122</t>
  </si>
  <si>
    <t>SPORTS CABIN BAR</t>
  </si>
  <si>
    <t>653 MAIN AVE</t>
  </si>
  <si>
    <t>EAA CHAPTER 289</t>
  </si>
  <si>
    <t>46818 263RD ST</t>
  </si>
  <si>
    <t>THE GRAIN EXCHANGE</t>
  </si>
  <si>
    <t>2022 MAPLE AVE</t>
  </si>
  <si>
    <t>CAROL'S COUNTRY CAFE</t>
  </si>
  <si>
    <t>430 E 4TH ST</t>
  </si>
  <si>
    <t>THE GOOSE BAR</t>
  </si>
  <si>
    <t>421  HWY 7 &amp; 59</t>
  </si>
  <si>
    <t>WATSON</t>
  </si>
  <si>
    <t>56295</t>
  </si>
  <si>
    <t>GRANITE RUN GOLF COURSE</t>
  </si>
  <si>
    <t>5522 HWY 67</t>
  </si>
  <si>
    <t>CAMPUS GRILL-MN WEST COLL</t>
  </si>
  <si>
    <t>1011 W 1ST ST</t>
  </si>
  <si>
    <t>THE BRIDGES GOLF COURSE</t>
  </si>
  <si>
    <t>101 N 3RD ST</t>
  </si>
  <si>
    <t>99-WATER'S EDGE BAR &amp; GRI</t>
  </si>
  <si>
    <t>19434 W SHORE AVE</t>
  </si>
  <si>
    <t>HILLSIDE GRILLE STEAKHOUS</t>
  </si>
  <si>
    <t>169 OAK RIDGE DRIVE</t>
  </si>
  <si>
    <t>MCCARTHY &amp; BAILEY'S IRISH</t>
  </si>
  <si>
    <t>423 PEARL ST</t>
  </si>
  <si>
    <t>ALCESTER STEAK HOUSE</t>
  </si>
  <si>
    <t>47894 302ND STREET</t>
  </si>
  <si>
    <t>4 BROTHERS BAR &amp; GRILL LL</t>
  </si>
  <si>
    <t>50 ST ANDREWS WAY</t>
  </si>
  <si>
    <t>SHADY DRIVE INN LLC</t>
  </si>
  <si>
    <t>124 STATE HWY 30</t>
  </si>
  <si>
    <t>TALLY HO KOFFIE</t>
  </si>
  <si>
    <t>99-IRON RANGE SMOKEHOUSE</t>
  </si>
  <si>
    <t>723 W KEMP</t>
  </si>
  <si>
    <t>99-OLD 77 BAR &amp; GRILLE</t>
  </si>
  <si>
    <t>24654 475TH AVE</t>
  </si>
  <si>
    <t>THE LINCOLN CLUB</t>
  </si>
  <si>
    <t>708 IDAHO ST</t>
  </si>
  <si>
    <t>OUTLAW PIZZA</t>
  </si>
  <si>
    <t>105 EAST 3RD</t>
  </si>
  <si>
    <t>PONCA</t>
  </si>
  <si>
    <t>68770</t>
  </si>
  <si>
    <t>RIVERTIME RESORTS</t>
  </si>
  <si>
    <t>595 AVENUE</t>
  </si>
  <si>
    <t>CRAZY BOB'S - HARTLEY</t>
  </si>
  <si>
    <t>240 N 8TH AVE EAST</t>
  </si>
  <si>
    <t>SHOOTERS BARBECUE GRILL</t>
  </si>
  <si>
    <t>128 S HERITAGE PL</t>
  </si>
  <si>
    <t>PONCA STATE PARK</t>
  </si>
  <si>
    <t>88090 SPUR 26 E</t>
  </si>
  <si>
    <t>KEY LARGO</t>
  </si>
  <si>
    <t>31 VALHALLA DR</t>
  </si>
  <si>
    <t>JAY'S RESTAURANT</t>
  </si>
  <si>
    <t>120 W 7TH ST</t>
  </si>
  <si>
    <t>TABLE 316 STEAK HOUSE</t>
  </si>
  <si>
    <t>316 N. OKOBOJI GROVE RD.</t>
  </si>
  <si>
    <t>HIATT FAMILY BBQ</t>
  </si>
  <si>
    <t>1921 MISSOURI AVE</t>
  </si>
  <si>
    <t>GREG'S  PLACE</t>
  </si>
  <si>
    <t>102 N MAIN AVE</t>
  </si>
  <si>
    <t>MAJESTIC HILLS BAR &amp; GRIL</t>
  </si>
  <si>
    <t>2505 BOULDERS DR</t>
  </si>
  <si>
    <t>GATEWAY BAR</t>
  </si>
  <si>
    <t>1558 GATEWAY DRIVE</t>
  </si>
  <si>
    <t>PENNY'S DINER - FREMONT</t>
  </si>
  <si>
    <t>2700 N DIERS PARKWAY</t>
  </si>
  <si>
    <t>CHATTERBOX CAFE</t>
  </si>
  <si>
    <t>120 NORTH DIVISION</t>
  </si>
  <si>
    <t>TYLER GOLF</t>
  </si>
  <si>
    <t>420 CO RD 7</t>
  </si>
  <si>
    <t>SUPER 8 - NORTH SIOUX CIT</t>
  </si>
  <si>
    <t>108 SODRAC DRIVE</t>
  </si>
  <si>
    <t>TOWNHOUSE PIZZA</t>
  </si>
  <si>
    <t>27TH AND FLOYD</t>
  </si>
  <si>
    <t>SNS BBQ LLC</t>
  </si>
  <si>
    <t>R-BAR</t>
  </si>
  <si>
    <t>180 N MAIN</t>
  </si>
  <si>
    <t>BLARNEY'S</t>
  </si>
  <si>
    <t>2100 HIGHLAND WAY</t>
  </si>
  <si>
    <t>JOHNS GRECIAN DELIGHT</t>
  </si>
  <si>
    <t>1001 FORT CROOK RD</t>
  </si>
  <si>
    <t>MARSHALL TIGER JO VOLLEYB</t>
  </si>
  <si>
    <t>1401 CUMBERLAND RD</t>
  </si>
  <si>
    <t>TERRY'S HOT ROD LOUNGE</t>
  </si>
  <si>
    <t>28 N BROADWAY</t>
  </si>
  <si>
    <t>KIKKERS LLC</t>
  </si>
  <si>
    <t>1503 AVE C</t>
  </si>
  <si>
    <t>CHATTER BOX CAFE</t>
  </si>
  <si>
    <t>1743 MILITARY AVENUE</t>
  </si>
  <si>
    <t>SAVANNAH OAKS GOLF COURSE</t>
  </si>
  <si>
    <t>GOLDEN BOWL - BELLEVUE</t>
  </si>
  <si>
    <t>513 FORT CROOK RD NORTH</t>
  </si>
  <si>
    <t>99-BUZZARDS BAR &amp; GRILL</t>
  </si>
  <si>
    <t>103 3RD ST</t>
  </si>
  <si>
    <t>SLEEPY EYE GOLF COURSE</t>
  </si>
  <si>
    <t>27898 US HWY 14 WEST</t>
  </si>
  <si>
    <t>SLEEPY EYE</t>
  </si>
  <si>
    <t>OUTLAW BBQ</t>
  </si>
  <si>
    <t>47558 THERESA CIR</t>
  </si>
  <si>
    <t>THE FARMHOUSE</t>
  </si>
  <si>
    <t>106 MAIN ST</t>
  </si>
  <si>
    <t>WANDA</t>
  </si>
  <si>
    <t>56294</t>
  </si>
  <si>
    <t>99-STIR THE POT CAFE</t>
  </si>
  <si>
    <t>206 S MAIN</t>
  </si>
  <si>
    <t>FLORENCE</t>
  </si>
  <si>
    <t>57235</t>
  </si>
  <si>
    <t>MAPLE STREET DINER</t>
  </si>
  <si>
    <t>100 S MAPLE ST STE 109</t>
  </si>
  <si>
    <t>FLAVOR INDIAN RESTAURANT</t>
  </si>
  <si>
    <t>501 MAIN AVE</t>
  </si>
  <si>
    <t>CENTRALCAFE</t>
  </si>
  <si>
    <t>815 CENTRAL AVE</t>
  </si>
  <si>
    <t>NAVARRETES</t>
  </si>
  <si>
    <t>3124 HWY 75 N</t>
  </si>
  <si>
    <t>JOHNNIE MARS</t>
  </si>
  <si>
    <t>2401 5TH ST</t>
  </si>
  <si>
    <t>FARMERS WALNUT ST DINER</t>
  </si>
  <si>
    <t>319 WALNUT ST</t>
  </si>
  <si>
    <t>CEDAR ROCK GRILL</t>
  </si>
  <si>
    <t>1523 14TH ST</t>
  </si>
  <si>
    <t>99-PJ'S II</t>
  </si>
  <si>
    <t>820 HWY 60</t>
  </si>
  <si>
    <t>BINGHAM LAKE</t>
  </si>
  <si>
    <t>56118</t>
  </si>
  <si>
    <t>MOWNTOWN STEAKHOUSE AND C</t>
  </si>
  <si>
    <t>220 W MAIN ST</t>
  </si>
  <si>
    <t>WESTSIDE DINER LLC</t>
  </si>
  <si>
    <t>604 W. 7TH STREET</t>
  </si>
  <si>
    <t>JO SOFTBALL</t>
  </si>
  <si>
    <t>608 11TH ST NE</t>
  </si>
  <si>
    <t>88 CHINESE RESTAURANT</t>
  </si>
  <si>
    <t>803 ALBANY AVE SE</t>
  </si>
  <si>
    <t>CLARK LANES</t>
  </si>
  <si>
    <t>113 N SMITH ST</t>
  </si>
  <si>
    <t>WHITE SD RESTAURANT</t>
  </si>
  <si>
    <t>MORTLAND'S BURGERS AND MO</t>
  </si>
  <si>
    <t>101 ANTELOPE ST</t>
  </si>
  <si>
    <t>KRONBORG INN</t>
  </si>
  <si>
    <t>CHERRY TOP CAFE</t>
  </si>
  <si>
    <t>307 FRONT STREET</t>
  </si>
  <si>
    <t>PISGAH</t>
  </si>
  <si>
    <t>51564</t>
  </si>
  <si>
    <t>LA MORENA FAMILY RESTAURA</t>
  </si>
  <si>
    <t>1100 VILLA AVE</t>
  </si>
  <si>
    <t>KURTS SMOKIN HOT BBQ</t>
  </si>
  <si>
    <t>113 E KEMP AVE</t>
  </si>
  <si>
    <t>HOWARD HOTEL &amp; CONFERENCE</t>
  </si>
  <si>
    <t>HOLIDAY INN CITY CENTRE</t>
  </si>
  <si>
    <t>STUMPY'S BAR &amp; GRILL</t>
  </si>
  <si>
    <t>423 MAIN STREET</t>
  </si>
  <si>
    <t>EROS MOONLIGHT CAFE</t>
  </si>
  <si>
    <t>47914 252ND ST</t>
  </si>
  <si>
    <t>KAT'S HOG HEAVEN</t>
  </si>
  <si>
    <t>608 2ND ST</t>
  </si>
  <si>
    <t>CITY &amp; COUNTRY TAVERN</t>
  </si>
  <si>
    <t>122 VERNON AVE</t>
  </si>
  <si>
    <t>THE SUB HUB OF SIOUX FALL</t>
  </si>
  <si>
    <t>1504 S DULUTH AVE</t>
  </si>
  <si>
    <t>THE DOCKIT BAR &amp; GRILL</t>
  </si>
  <si>
    <t>111 BOULDER DR</t>
  </si>
  <si>
    <t>LUCIANO'S NORTH</t>
  </si>
  <si>
    <t>431 N PHILLIPS AVE</t>
  </si>
  <si>
    <t>SWIFTEL CENTER</t>
  </si>
  <si>
    <t>824 32ND AVE</t>
  </si>
  <si>
    <t>99-BREAD &amp; BATTER LLC</t>
  </si>
  <si>
    <t>601 N MAIN ST UNIT 8</t>
  </si>
  <si>
    <t>STARZ</t>
  </si>
  <si>
    <t>2209 W 57TH ST</t>
  </si>
  <si>
    <t>99-COTTONWOOD CORNER CAFE</t>
  </si>
  <si>
    <t>101 ANTELOPE T</t>
  </si>
  <si>
    <t>LUCKY'S BAR &amp; GRILL</t>
  </si>
  <si>
    <t>JESSIE'S SMOKEHOUSE</t>
  </si>
  <si>
    <t>1500 ALBION AVENUE</t>
  </si>
  <si>
    <t>BIG J'S ROADHOUSE</t>
  </si>
  <si>
    <t>211 N STOFFEROHN RD</t>
  </si>
  <si>
    <t>57035</t>
  </si>
  <si>
    <t>SUPER 8 MOTEL - 41ST STRE</t>
  </si>
  <si>
    <t>4100 W 41ST ST</t>
  </si>
  <si>
    <t>DEROCHIE HOUSE</t>
  </si>
  <si>
    <t>1122 S HELEN ST</t>
  </si>
  <si>
    <t>MAIN STREET FITNESS</t>
  </si>
  <si>
    <t>38 WEST CENTER AVE.</t>
  </si>
  <si>
    <t>THE LOUNGE</t>
  </si>
  <si>
    <t>1481 BAR AND GRILLE</t>
  </si>
  <si>
    <t>406 S HWY 81</t>
  </si>
  <si>
    <t>99-TRAILWAY'S CAFE</t>
  </si>
  <si>
    <t>603 W HWY 212</t>
  </si>
  <si>
    <t>LAMPE'S PUB</t>
  </si>
  <si>
    <t>608 IOWA AVENUE</t>
  </si>
  <si>
    <t>SNYDERS PUB</t>
  </si>
  <si>
    <t>407 N. THURSTON</t>
  </si>
  <si>
    <t>ROSALIE</t>
  </si>
  <si>
    <t>68055</t>
  </si>
  <si>
    <t>THE DROVER RESTAURANT</t>
  </si>
  <si>
    <t>2121 SOUTH 73RD STREET</t>
  </si>
  <si>
    <t>HILLTOP BAR &amp; GRILL</t>
  </si>
  <si>
    <t>712 OAK STREET</t>
  </si>
  <si>
    <t>SCHUVER'S CAFE</t>
  </si>
  <si>
    <t>111 E MAIN</t>
  </si>
  <si>
    <t>1743 MILITARY AVE</t>
  </si>
  <si>
    <t>RENO CASINO</t>
  </si>
  <si>
    <t>118 MILITARY RD</t>
  </si>
  <si>
    <t>RAMADA-MARSHALL</t>
  </si>
  <si>
    <t>1500 E COLLEGE DR</t>
  </si>
  <si>
    <t>TACOS EL GUERO - NORTH SI</t>
  </si>
  <si>
    <t>1301 RIVER DR</t>
  </si>
  <si>
    <t>SUBURBAN LANES/GREAT LIFE</t>
  </si>
  <si>
    <t>2621 S. SPRING AVE.</t>
  </si>
  <si>
    <t>PO PO'S</t>
  </si>
  <si>
    <t>HIWAY 9</t>
  </si>
  <si>
    <t>HIGHLAND OAKS GOLF COURSE</t>
  </si>
  <si>
    <t>88052 HIGHLAND ROAD</t>
  </si>
  <si>
    <t>MISS MOLLY'S</t>
  </si>
  <si>
    <t>203 MIAN STREET</t>
  </si>
  <si>
    <t>PRAIRIE LANES</t>
  </si>
  <si>
    <t>STARBANKS COFFEE</t>
  </si>
  <si>
    <t>404 S MAIN</t>
  </si>
  <si>
    <t>99-LYONS DEN"DISHWASHER L</t>
  </si>
  <si>
    <t>SPORT BOWL LOUNGE</t>
  </si>
  <si>
    <t>D H CATERING-SS</t>
  </si>
  <si>
    <t>33189 480 AVE</t>
  </si>
  <si>
    <t>JEFFERSON</t>
  </si>
  <si>
    <t>57038</t>
  </si>
  <si>
    <t>BUD'S BAR</t>
  </si>
  <si>
    <t>216 MAIN STREET</t>
  </si>
  <si>
    <t>PO BOX 74</t>
  </si>
  <si>
    <t>WEST END BAR</t>
  </si>
  <si>
    <t>HWY 68</t>
  </si>
  <si>
    <t>KAK INC, K</t>
  </si>
  <si>
    <t>401 E 8TH ST8</t>
  </si>
  <si>
    <t>SUPER 8 MOTEL - WATERTOWN</t>
  </si>
  <si>
    <t>503 14TH AVE SE</t>
  </si>
  <si>
    <t>RECREATION BAR</t>
  </si>
  <si>
    <t>536 MAIN ST</t>
  </si>
  <si>
    <t>MIKE'S FRESH CATERING</t>
  </si>
  <si>
    <t>201 DAKTRONICS DRIVE</t>
  </si>
  <si>
    <t>MISTY'S - WOODBURY COUNTY</t>
  </si>
  <si>
    <t>CASTLEWOOD GOLF COURSE</t>
  </si>
  <si>
    <t>411 E. CEMENTERY RD</t>
  </si>
  <si>
    <t>FEATHER'S NEST</t>
  </si>
  <si>
    <t>324 223RD ST</t>
  </si>
  <si>
    <t>WARD</t>
  </si>
  <si>
    <t>ONE WAY CATERING</t>
  </si>
  <si>
    <t>499 3RD AVE</t>
  </si>
  <si>
    <t>RORO'S FUNNEL CAKE</t>
  </si>
  <si>
    <t>LONG BRANCH</t>
  </si>
  <si>
    <t>206 10TH STREET</t>
  </si>
  <si>
    <t>BOOM'S INC.</t>
  </si>
  <si>
    <t>516 W HWY 46</t>
  </si>
  <si>
    <t>DUGOUT</t>
  </si>
  <si>
    <t>108 W 2ND ST</t>
  </si>
  <si>
    <t>LONA'S FAMILY DINER</t>
  </si>
  <si>
    <t>SOUTH RIDGE GOLF</t>
  </si>
  <si>
    <t>618 W 29TH ST</t>
  </si>
  <si>
    <t>PRIME RIB INC</t>
  </si>
  <si>
    <t>1205 S GRAND</t>
  </si>
  <si>
    <t>PLAZA MEXICO</t>
  </si>
  <si>
    <t>1501 LAKE AVE</t>
  </si>
  <si>
    <t>ANTONIOS</t>
  </si>
  <si>
    <t>202 N ST PAUL AVE</t>
  </si>
  <si>
    <t>DAIRY SWEET</t>
  </si>
  <si>
    <t>118 IOWA AVE</t>
  </si>
  <si>
    <t>BBB LODGE</t>
  </si>
  <si>
    <t>45618 278TH ST</t>
  </si>
  <si>
    <t>99-PAUL'S PLACE</t>
  </si>
  <si>
    <t>4TH ST</t>
  </si>
  <si>
    <t>EDDIES TAVERN</t>
  </si>
  <si>
    <t>407 "D" STREET</t>
  </si>
  <si>
    <t>SIOUX FALLS LIONS PANCAKE</t>
  </si>
  <si>
    <t>3240 BLUEGRASS COURT</t>
  </si>
  <si>
    <t>R SPORTS BAR LLC</t>
  </si>
  <si>
    <t>710 1ST ST</t>
  </si>
  <si>
    <t>WAGNER SPEEDWAY</t>
  </si>
  <si>
    <t>800 SOUTH MAIN</t>
  </si>
  <si>
    <t>GRANITE FALLS BASEBALL AS</t>
  </si>
  <si>
    <t>1380 7TH ST</t>
  </si>
  <si>
    <t>THE BUFFALO CLUB</t>
  </si>
  <si>
    <t>107 IOWA AVENUE</t>
  </si>
  <si>
    <t>SMOKIN HERFORD BBQ</t>
  </si>
  <si>
    <t>1605 W MILWAUKEE AVE</t>
  </si>
  <si>
    <t>99-SECOND STREET STATION</t>
  </si>
  <si>
    <t>15 2ND ST SW</t>
  </si>
  <si>
    <t>GALAXIE GRILL &amp; EVENT CEN</t>
  </si>
  <si>
    <t>1951 LEECH AVE #2</t>
  </si>
  <si>
    <t>REMINGTON'S REST. &amp; LOUNG</t>
  </si>
  <si>
    <t>1511 18 TH. STREET</t>
  </si>
  <si>
    <t>GREEK ISLANDS</t>
  </si>
  <si>
    <t>3821 CENTER ST</t>
  </si>
  <si>
    <t>68105</t>
  </si>
  <si>
    <t>FATBOYZ BAR &amp; GRILL</t>
  </si>
  <si>
    <t>114 OAK STREET</t>
  </si>
  <si>
    <t>COFFEE CABIN</t>
  </si>
  <si>
    <t>1408 N C AVE</t>
  </si>
  <si>
    <t>CORNER  CAFE</t>
  </si>
  <si>
    <t>200 OAK ST</t>
  </si>
  <si>
    <t>LOS TAPATIOS</t>
  </si>
  <si>
    <t>1386 SD-44</t>
  </si>
  <si>
    <t>THE BACK 40</t>
  </si>
  <si>
    <t>317 MAIN ST</t>
  </si>
  <si>
    <t>MICKIE'S</t>
  </si>
  <si>
    <t>209 S BROADWAY</t>
  </si>
  <si>
    <t>ELLSWORTH</t>
  </si>
  <si>
    <t>56129</t>
  </si>
  <si>
    <t>ON THE ROCKS</t>
  </si>
  <si>
    <t>111 S MAIN ST</t>
  </si>
  <si>
    <t>FRED'S PLACE BAR &amp; GRILL</t>
  </si>
  <si>
    <t>BAZINGA WINGZ</t>
  </si>
  <si>
    <t>701 14TH AVENUE SOUTH</t>
  </si>
  <si>
    <t>PENNY'S DINER - MV</t>
  </si>
  <si>
    <t>128 N WILLOW</t>
  </si>
  <si>
    <t>THE FILLING STATION</t>
  </si>
  <si>
    <t>1808 N US HWY 75</t>
  </si>
  <si>
    <t>NORTHSIDE</t>
  </si>
  <si>
    <t>115 MAIN STREET</t>
  </si>
  <si>
    <t>THE ARENA</t>
  </si>
  <si>
    <t>TWIN DRAGON</t>
  </si>
  <si>
    <t>704 E NORWAY</t>
  </si>
  <si>
    <t>HUNTERS DEN</t>
  </si>
  <si>
    <t>109 W. FRONT STREET</t>
  </si>
  <si>
    <t>ARCADIA</t>
  </si>
  <si>
    <t>51430</t>
  </si>
  <si>
    <t>DENISON INN &amp; SUITES</t>
  </si>
  <si>
    <t>315 CHAMBERLIN DRIVE</t>
  </si>
  <si>
    <t>CASA DEL REY</t>
  </si>
  <si>
    <t>MICROTEL INN &amp; SUITES</t>
  </si>
  <si>
    <t>2901 S CAROLYN AVE</t>
  </si>
  <si>
    <t>THE WOODEN NICKEL</t>
  </si>
  <si>
    <t>45-TWIN LAKES RESORT</t>
  </si>
  <si>
    <t>115 TWIN LAKES RD</t>
  </si>
  <si>
    <t>SHAHI PALACE INC</t>
  </si>
  <si>
    <t>2527 S SHIRLEY AVE</t>
  </si>
  <si>
    <t>SALOON 59</t>
  </si>
  <si>
    <t>KARA CORP CENTRAL CATERIN</t>
  </si>
  <si>
    <t>607 1ST STREET</t>
  </si>
  <si>
    <t>FRANNIE'S CAFE</t>
  </si>
  <si>
    <t>812 IOWA AVE</t>
  </si>
  <si>
    <t>KENNEDY'S BAKERY</t>
  </si>
  <si>
    <t>307 6TH AVE</t>
  </si>
  <si>
    <t>BOXER BARBEQUE LLC</t>
  </si>
  <si>
    <t>722 CREEK TOP STE 2</t>
  </si>
  <si>
    <t>SIOUX EMPIRE FAIR ASSOCIA</t>
  </si>
  <si>
    <t>100 N LYON BLVD</t>
  </si>
  <si>
    <t>THE GATHERING PLACE</t>
  </si>
  <si>
    <t>110 S VINE</t>
  </si>
  <si>
    <t>FARRAGUT TAVERN</t>
  </si>
  <si>
    <t>609 HARTFORD</t>
  </si>
  <si>
    <t>99-DAREO'S PIZZA - EAST 2</t>
  </si>
  <si>
    <t>3301 E 26TH ST</t>
  </si>
  <si>
    <t>JJ'S BAR &amp; GRILL</t>
  </si>
  <si>
    <t>BUCKSNORTS</t>
  </si>
  <si>
    <t>105 SHERMAN ST</t>
  </si>
  <si>
    <t>BOB'S IN ARNOLDS PARK</t>
  </si>
  <si>
    <t>243 W. BROADWAY</t>
  </si>
  <si>
    <t>THE PUB</t>
  </si>
  <si>
    <t>119 E MAIN</t>
  </si>
  <si>
    <t>BRACCO - ARNOLDS PARK</t>
  </si>
  <si>
    <t>317 240TH AVENUE</t>
  </si>
  <si>
    <t>ZANE'S DAWGHOUSE</t>
  </si>
  <si>
    <t>306 MAIN STREET</t>
  </si>
  <si>
    <t>CLIFFORDS STEAK AND ALE</t>
  </si>
  <si>
    <t>MONK'S</t>
  </si>
  <si>
    <t>420 E 8TH ST</t>
  </si>
  <si>
    <t>DEER RUN GOLF COURSE</t>
  </si>
  <si>
    <t>801 FIRST AVE.</t>
  </si>
  <si>
    <t>PAGE'S PLACE</t>
  </si>
  <si>
    <t>700 W KEMP</t>
  </si>
  <si>
    <t>PAPA'S PLACE</t>
  </si>
  <si>
    <t>NORTHERN LINKS GOLF COURS</t>
  </si>
  <si>
    <t>7701 N CLIFF AVE</t>
  </si>
  <si>
    <t>YELLOW ROSE</t>
  </si>
  <si>
    <t>36689 275 TH. STREET</t>
  </si>
  <si>
    <t>99-CABARET STEAKHOUSE</t>
  </si>
  <si>
    <t>120 MAIN ST</t>
  </si>
  <si>
    <t>CHARLIE'S</t>
  </si>
  <si>
    <t>3020 3RD ST</t>
  </si>
  <si>
    <t>PLAYERS CASINO</t>
  </si>
  <si>
    <t>726 N HIGHLAND AVE</t>
  </si>
  <si>
    <t>RACEWAY PARK</t>
  </si>
  <si>
    <t>407 W. 29TH STREET</t>
  </si>
  <si>
    <t>BILLY FROGS</t>
  </si>
  <si>
    <t>5002 S MARION RD</t>
  </si>
  <si>
    <t>FAJITAS BAR AND GRILL</t>
  </si>
  <si>
    <t>COFFEE BAR</t>
  </si>
  <si>
    <t>601 W 33RD ST</t>
  </si>
  <si>
    <t>SUNRISE COFFEE</t>
  </si>
  <si>
    <t>409 REGAL DR</t>
  </si>
  <si>
    <t>TWEETER'S</t>
  </si>
  <si>
    <t>1027 US 71</t>
  </si>
  <si>
    <t>MILES INN SIOUX CITY</t>
  </si>
  <si>
    <t>2622 LEECH AVE</t>
  </si>
  <si>
    <t>WAVERLY STEAKHOUSE</t>
  </si>
  <si>
    <t>121 1ST AVE N</t>
  </si>
  <si>
    <t>WAVERLY</t>
  </si>
  <si>
    <t>MINDEN BOWL CAFE &amp; LOUNGE</t>
  </si>
  <si>
    <t>209 BROADWAY ST</t>
  </si>
  <si>
    <t>MINDEN</t>
  </si>
  <si>
    <t>51553</t>
  </si>
  <si>
    <t>CEDRIC'S</t>
  </si>
  <si>
    <t>206 S MAIN ST</t>
  </si>
  <si>
    <t>THE DONS SPORTS BAR AND G</t>
  </si>
  <si>
    <t>801 W 13TH ST</t>
  </si>
  <si>
    <t>TORONTO CAFE &amp; LOUNGE</t>
  </si>
  <si>
    <t>485 MAIN AVE</t>
  </si>
  <si>
    <t>TORONTO</t>
  </si>
  <si>
    <t>57268</t>
  </si>
  <si>
    <t>99-THE BACK 40</t>
  </si>
  <si>
    <t>300 W HWY 16</t>
  </si>
  <si>
    <t>CASCIO'S STEAKHOUSE</t>
  </si>
  <si>
    <t>1620 S. 10TH STREET</t>
  </si>
  <si>
    <t>MAD MARYS STEAKHOUSE</t>
  </si>
  <si>
    <t>306 N VETERANS ST</t>
  </si>
  <si>
    <t>MAYFIELDBAR</t>
  </si>
  <si>
    <t>44398 SD-46</t>
  </si>
  <si>
    <t>HABANERO'S</t>
  </si>
  <si>
    <t>1510 MORNINGSIDE DR</t>
  </si>
  <si>
    <t>CRITTERS BAR/ROSKENS PIZZ</t>
  </si>
  <si>
    <t>200 E. MAIN ST.</t>
  </si>
  <si>
    <t>99-EARTH TO ORBIT CAFE</t>
  </si>
  <si>
    <t>LUNCH THYME SANDWICH SHOP</t>
  </si>
  <si>
    <t>407 N WEST AVE</t>
  </si>
  <si>
    <t>BLUE MOON BAR &amp; GRILL</t>
  </si>
  <si>
    <t>908 MAIN STREET</t>
  </si>
  <si>
    <t>HAMBURG</t>
  </si>
  <si>
    <t>51640</t>
  </si>
  <si>
    <t>BUFFALO LAKE RESORT</t>
  </si>
  <si>
    <t>11985 BIA RD #3</t>
  </si>
  <si>
    <t>EDEN</t>
  </si>
  <si>
    <t>57232</t>
  </si>
  <si>
    <t>COWBOYS BBQ</t>
  </si>
  <si>
    <t>3128 CIMMARON RD      *</t>
  </si>
  <si>
    <t>WEATHERFORD</t>
  </si>
  <si>
    <t>TX</t>
  </si>
  <si>
    <t>76087</t>
  </si>
  <si>
    <t>VIKING INN--BLAIR</t>
  </si>
  <si>
    <t>2546 A S. HWY 30</t>
  </si>
  <si>
    <t>BACKYARD GRILL-SFALLS</t>
  </si>
  <si>
    <t>3705 S WESTERN AVE</t>
  </si>
  <si>
    <t>STERLINGS CAFE &amp; GRILL</t>
  </si>
  <si>
    <t>105 E MAIN ST</t>
  </si>
  <si>
    <t>PIT STOP CONCESSIONS</t>
  </si>
  <si>
    <t>5217 W 35TH ST</t>
  </si>
  <si>
    <t>FRIENDS OF BASEBALL BROOK</t>
  </si>
  <si>
    <t>530A ELM AVE</t>
  </si>
  <si>
    <t>PRAIRIE LOUNGE</t>
  </si>
  <si>
    <t>514 DAKOTA AVE S</t>
  </si>
  <si>
    <t>UNKIE'S ENTERTAINER</t>
  </si>
  <si>
    <t>222 NORTH ANN ST</t>
  </si>
  <si>
    <t>THOR</t>
  </si>
  <si>
    <t>50591</t>
  </si>
  <si>
    <t>STEVE'S BAR &amp; GRILL</t>
  </si>
  <si>
    <t>106 W THIRD ST</t>
  </si>
  <si>
    <t>CEDAR VIEW LOUNGE</t>
  </si>
  <si>
    <t>101 CALCAVECCHIA DR</t>
  </si>
  <si>
    <t>BOSS' PIZZA &amp; CHICKEN-MIN</t>
  </si>
  <si>
    <t>2111 S MINNESOTA AVE</t>
  </si>
  <si>
    <t>99-MONKEY'S BAR &amp; GRILL</t>
  </si>
  <si>
    <t>313 N GARFIELD AVE</t>
  </si>
  <si>
    <t>BLOOMS 'N LATTES</t>
  </si>
  <si>
    <t>201 NW 13TH STREET</t>
  </si>
  <si>
    <t>DII'S BAR</t>
  </si>
  <si>
    <t>SAINT LEO</t>
  </si>
  <si>
    <t>99-SKY DINE &amp; CATERING PR</t>
  </si>
  <si>
    <t>2801 N. JAYCEE LANE</t>
  </si>
  <si>
    <t>1010 22ND AVE</t>
  </si>
  <si>
    <t>BEST WESTERN IN HURON</t>
  </si>
  <si>
    <t>JIM AND JENNIE'S GREEK VL</t>
  </si>
  <si>
    <t>3026 NO 90TH</t>
  </si>
  <si>
    <t>SIYO RANCH</t>
  </si>
  <si>
    <t>25436 380TH AVE</t>
  </si>
  <si>
    <t>RIDES BAR &amp; GRILL</t>
  </si>
  <si>
    <t>723 S 31ST ST</t>
  </si>
  <si>
    <t>99-RED ROCK BAR &amp; GRILL</t>
  </si>
  <si>
    <t>48181 HWY 42</t>
  </si>
  <si>
    <t>DESMET SUPER DELUXE INN &amp;</t>
  </si>
  <si>
    <t>288 HWY 14E</t>
  </si>
  <si>
    <t>LEHIGH CAFE</t>
  </si>
  <si>
    <t>126 MAIN ST</t>
  </si>
  <si>
    <t>LEHIGH</t>
  </si>
  <si>
    <t>50557</t>
  </si>
  <si>
    <t>99 ALCESTER STEAK HOUSE</t>
  </si>
  <si>
    <t>47894 302 STREET P.O. BOX</t>
  </si>
  <si>
    <t>$5.00 SANDWICH STOP</t>
  </si>
  <si>
    <t>1008 KEY CLUB</t>
  </si>
  <si>
    <t>1008 4TH ST</t>
  </si>
  <si>
    <t>VALLEY SPRINGS COMMUNITY</t>
  </si>
  <si>
    <t>906 VALLEY VIEW</t>
  </si>
  <si>
    <t>VESTA BAR</t>
  </si>
  <si>
    <t>191 N BROADWAY ST</t>
  </si>
  <si>
    <t>VESTA</t>
  </si>
  <si>
    <t>56292</t>
  </si>
  <si>
    <t>OLD MILL LOUNGE</t>
  </si>
  <si>
    <t>10944 W DODGE RD</t>
  </si>
  <si>
    <t>WILLOW VALE GOLF COURSE</t>
  </si>
  <si>
    <t>300 W SIOUX ST</t>
  </si>
  <si>
    <t>CAMP OKOBOJI MO</t>
  </si>
  <si>
    <t>1531 EDGEWOOD DRIVE</t>
  </si>
  <si>
    <t>45-LAKEVIEW RESORT LLC</t>
  </si>
  <si>
    <t>142 W LAKE DRIVE</t>
  </si>
  <si>
    <t>NEW ULM TURNER HALL</t>
  </si>
  <si>
    <t>102 S STATE ST</t>
  </si>
  <si>
    <t>BREAD &amp; CIRCUS SANDWICH K</t>
  </si>
  <si>
    <t>600 N MAIN STE 10</t>
  </si>
  <si>
    <t>99-IVY'S TAVERN</t>
  </si>
  <si>
    <t>214 N ST.PAUL AVE</t>
  </si>
  <si>
    <t>LINDA'S CATERING</t>
  </si>
  <si>
    <t>2160 HWY 59 SW</t>
  </si>
  <si>
    <t>HARLEY'S</t>
  </si>
  <si>
    <t>116 W 2ND</t>
  </si>
  <si>
    <t>SCHALLER</t>
  </si>
  <si>
    <t>51053</t>
  </si>
  <si>
    <t>BITTERSWEET LODGE</t>
  </si>
  <si>
    <t>15196 455TH AVE</t>
  </si>
  <si>
    <t>CEDAR STREET BAR &amp; GRILL</t>
  </si>
  <si>
    <t>743 MAIN ST</t>
  </si>
  <si>
    <t>SOCIAL HOUR</t>
  </si>
  <si>
    <t>124 S 4TH AVE</t>
  </si>
  <si>
    <t>FELLOWSHIP CHRISTIAN SPOR</t>
  </si>
  <si>
    <t>1601 E 69TH ST SUITE 200</t>
  </si>
  <si>
    <t>99-RUE 41 BAKERY &amp; CAFE</t>
  </si>
  <si>
    <t>2530 SOUTH LOUISE AVE</t>
  </si>
  <si>
    <t>57109</t>
  </si>
  <si>
    <t>TTT'S - PLYMOUTH COUNTY F</t>
  </si>
  <si>
    <t>500 4TH AVE NE</t>
  </si>
  <si>
    <t>STOCKMAN'S CAFE</t>
  </si>
  <si>
    <t>825 10TH ST NW</t>
  </si>
  <si>
    <t>RIVER RIDGE GOLF COURSE</t>
  </si>
  <si>
    <t>25412 485TH AVE</t>
  </si>
  <si>
    <t>PHEASANT RESTAURANT AND L</t>
  </si>
  <si>
    <t>726 MAIN AVE S</t>
  </si>
  <si>
    <t>MAC'S SMOKEHOUSE</t>
  </si>
  <si>
    <t>10 LINCOLN AVE W</t>
  </si>
  <si>
    <t>45-LAKEVIEW RESORT</t>
  </si>
  <si>
    <t>142 W LAKE DR</t>
  </si>
  <si>
    <t>99-NANCY'S CAFE</t>
  </si>
  <si>
    <t>GLASS PALACE-CASINO</t>
  </si>
  <si>
    <t>430 HIGHWAY 105 NORTH</t>
  </si>
  <si>
    <t>RIVER CITY EATERY</t>
  </si>
  <si>
    <t>344 10TH ST</t>
  </si>
  <si>
    <t>HEROES SPORTS BAR GRILL</t>
  </si>
  <si>
    <t>JALISCO</t>
  </si>
  <si>
    <t>425 W HWY 30</t>
  </si>
  <si>
    <t>THE DIVING ELK</t>
  </si>
  <si>
    <t>1101 4TH ST</t>
  </si>
  <si>
    <t>WIEBELHAUS RECREATION</t>
  </si>
  <si>
    <t>C AND JS CAFE 81</t>
  </si>
  <si>
    <t>220 N NEBRASKA ST</t>
  </si>
  <si>
    <t>EL RANCHITO REST</t>
  </si>
  <si>
    <t>2101 CORNHUSKER DRIVE</t>
  </si>
  <si>
    <t>MR STIRFRY BUFFET</t>
  </si>
  <si>
    <t>SF CROSS LOCATION</t>
  </si>
  <si>
    <t>TOMACELLI'S</t>
  </si>
  <si>
    <t>BIG FRED'S PIZZA GARDEN &amp;</t>
  </si>
  <si>
    <t>1101 S 119TH ST</t>
  </si>
  <si>
    <t>SPORTSMAN'S BAR -CELL 480</t>
  </si>
  <si>
    <t>305 E CENTER</t>
  </si>
  <si>
    <t>99-OFF THE CLOCK CHOP HOU</t>
  </si>
  <si>
    <t>17947 424TH AVE</t>
  </si>
  <si>
    <t>LEFTI'S NEIGHBORHOOD BAR</t>
  </si>
  <si>
    <t>2001 2ND AVE N</t>
  </si>
  <si>
    <t>COON BOWL III</t>
  </si>
  <si>
    <t>223 S 6TH AVE</t>
  </si>
  <si>
    <t>VINCENT BAR &amp; GRILL</t>
  </si>
  <si>
    <t>106 N 1ST ST</t>
  </si>
  <si>
    <t>VINCENT</t>
  </si>
  <si>
    <t>50594</t>
  </si>
  <si>
    <t>ONAWA RACING INC</t>
  </si>
  <si>
    <t>3120 13TH ST</t>
  </si>
  <si>
    <t>ISTANBULKEBAP HOUSE BAKLA</t>
  </si>
  <si>
    <t>1751 MADISON AVE   UNIT 4</t>
  </si>
  <si>
    <t>HARTINGTON GOLF CLUB INC</t>
  </si>
  <si>
    <t>101 FELBER PARK</t>
  </si>
  <si>
    <t>TABLE 32</t>
  </si>
  <si>
    <t>100 S VIRGINIA ST</t>
  </si>
  <si>
    <t>BELLY UP BAR AND GRILL</t>
  </si>
  <si>
    <t>313 S MAIN ST</t>
  </si>
  <si>
    <t>HARVEST MOON COFFE LLC</t>
  </si>
  <si>
    <t>405 SHARP ST</t>
  </si>
  <si>
    <t>GRIDIRON FAMILY GRILL &amp;</t>
  </si>
  <si>
    <t>1121 E 2ND STREET</t>
  </si>
  <si>
    <t>CHICKEN CONNECTION</t>
  </si>
  <si>
    <t>600 E MAIN ST</t>
  </si>
  <si>
    <t>CRAZY BOB'S - PETERSON</t>
  </si>
  <si>
    <t>211 MAIN STREET</t>
  </si>
  <si>
    <t>PETERSON</t>
  </si>
  <si>
    <t>51047</t>
  </si>
  <si>
    <t>ELLSWORTH CAFE</t>
  </si>
  <si>
    <t>303 S BROADWAY AVE</t>
  </si>
  <si>
    <t>Q1 2021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</si>
</sst>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103FC8E0-B9AE-4CF9-B401-7A102C0C984E}"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AAE1CF89-81CB-46BC-B8F8-D718364B2163}"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2FE36E64-C545-4AD6-BF69-9405D1E10228}" autoFormatId="0" applyNumberFormats="0" applyBorderFormats="0" applyFontFormats="1" applyPatternFormats="1" applyAlignmentFormats="0" applyWidthHeightFormats="0">
  <queryTableRefresh preserveSortFilterLayout="0" nextId="29">
    <queryTableFields count="27">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DeletedFields count="1">
      <deletedField name="CUST_NBR"/>
    </queryTableDeleted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466B3D5F-B92C-4CFF-8A8B-74F3F1DB3152}" autoFormatId="0" applyNumberFormats="0" applyBorderFormats="0" applyFontFormats="1" applyPatternFormats="1" applyAlignmentFormats="0" applyWidthHeightFormats="0">
  <queryTableRefresh preserveSortFilterLayout="0" nextId="7">
    <queryTableFields count="6">
      <queryTableField id="1" name="CUST_NM"/>
      <queryTableField id="2" dataBound="0" fillFormulas="1"/>
      <queryTableField id="3" name="SUM(C.&quot;VARIABLE DELIVERY COST&quot;)"/>
      <queryTableField id="4" name="SUM(C.&quot;VARIABLE SELLING COST&quot;)"/>
      <queryTableField id="5" name="SUM(C.&quot;VARIABLE WAREHOUSE COST&quot;)"/>
      <queryTableField id="6" name="SUM(C.DROPS)"/>
    </queryTableFields>
    <queryTableDeletedFields count="1">
      <deletedField name="CUST_NBR"/>
    </queryTableDeleted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B09FECA9-5519-4686-B335-98773A923B82}"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E3F22DC1-7321-4290-BB40-01A838B4E399}"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00771A32-5A0F-4E69-B1BE-E7FDB45351CD}"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524FA811-4185-4186-B5AF-02293515C87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B1A9380F-72A4-437E-BA0E-4FAB6D72F969}"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 xr16:uid="{C942B86C-9240-42E8-B5CB-7432CACD0DD2}"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3" t="s">
        <v>790</v>
      </c>
      <c r="B1" s="1033"/>
      <c r="C1" s="1033"/>
      <c r="D1" s="1033"/>
      <c r="E1" s="1033"/>
    </row>
    <row r="2" spans="1:5" x14ac:dyDescent="0.25">
      <c r="A2" s="1033" t="s">
        <v>791</v>
      </c>
      <c r="B2" s="1033"/>
      <c r="C2" s="1033"/>
      <c r="D2" s="1033"/>
      <c r="E2" s="1033"/>
    </row>
    <row r="3" spans="1:5" x14ac:dyDescent="0.25">
      <c r="A3" s="77"/>
    </row>
    <row r="4" spans="1:5" ht="78" customHeight="1" x14ac:dyDescent="0.25">
      <c r="A4" s="1051" t="s">
        <v>792</v>
      </c>
      <c r="B4" s="1051"/>
      <c r="C4" s="1051"/>
      <c r="D4" s="1051"/>
      <c r="E4" s="1051"/>
    </row>
    <row r="5" spans="1:5" x14ac:dyDescent="0.25">
      <c r="A5" s="77"/>
    </row>
    <row r="6" spans="1:5" ht="31.5" customHeight="1" x14ac:dyDescent="0.25">
      <c r="A6" s="1050" t="s">
        <v>793</v>
      </c>
      <c r="B6" s="1050"/>
      <c r="C6" s="1050"/>
      <c r="D6" s="1050"/>
      <c r="E6" s="1050"/>
    </row>
    <row r="7" spans="1:5" ht="15.75" thickBot="1" x14ac:dyDescent="0.3">
      <c r="A7" s="78"/>
    </row>
    <row r="8" spans="1:5" ht="15" customHeight="1" x14ac:dyDescent="0.25">
      <c r="A8" s="1044" t="s">
        <v>794</v>
      </c>
      <c r="B8" s="1045"/>
      <c r="C8" s="1045"/>
      <c r="D8" s="1045"/>
      <c r="E8" s="1046"/>
    </row>
    <row r="9" spans="1:5" ht="15" customHeight="1" thickBot="1" x14ac:dyDescent="0.3">
      <c r="A9" s="1047" t="s">
        <v>795</v>
      </c>
      <c r="B9" s="1048"/>
      <c r="C9" s="1048"/>
      <c r="D9" s="1048"/>
      <c r="E9" s="1049"/>
    </row>
    <row r="10" spans="1:5" x14ac:dyDescent="0.25">
      <c r="A10" s="79"/>
      <c r="B10" s="1041"/>
      <c r="C10" s="1041"/>
      <c r="D10" s="83"/>
    </row>
    <row r="11" spans="1:5" ht="31.5" customHeight="1" thickBot="1" x14ac:dyDescent="0.3">
      <c r="A11" s="81" t="s">
        <v>796</v>
      </c>
      <c r="B11" s="1042" t="s">
        <v>797</v>
      </c>
      <c r="C11" s="1042"/>
      <c r="D11" s="83">
        <f>Welcome!$D$4</f>
        <v>0</v>
      </c>
    </row>
    <row r="12" spans="1:5" ht="15.75" thickBot="1" x14ac:dyDescent="0.3">
      <c r="A12" s="81" t="s">
        <v>798</v>
      </c>
      <c r="B12" s="1043">
        <f>'MDA Worksheet'!$R$18</f>
        <v>0</v>
      </c>
      <c r="C12" s="1043"/>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40"/>
      <c r="C17" s="1040"/>
      <c r="D17" s="1040"/>
      <c r="E17" s="1040"/>
    </row>
    <row r="18" spans="1:5" x14ac:dyDescent="0.25">
      <c r="A18" s="79"/>
      <c r="B18" s="122"/>
      <c r="C18" s="79"/>
      <c r="D18" s="122"/>
    </row>
    <row r="19" spans="1:5" ht="15.75" thickBot="1" x14ac:dyDescent="0.3">
      <c r="A19" s="81" t="s">
        <v>876</v>
      </c>
      <c r="B19" s="1040">
        <f>Welcome!$D$8</f>
        <v>0</v>
      </c>
      <c r="C19" s="1040"/>
      <c r="D19" s="1040"/>
      <c r="E19" s="1040"/>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1" customFormat="1" ht="15.75" thickBot="1" x14ac:dyDescent="0.3">
      <c r="A41" s="991"/>
    </row>
    <row r="42" spans="1:5" s="931" customFormat="1" ht="15.75" thickBot="1" x14ac:dyDescent="0.3">
      <c r="A42" s="1018" t="s">
        <v>1317</v>
      </c>
      <c r="B42" s="1019"/>
      <c r="C42" s="1019"/>
      <c r="D42" s="1019"/>
      <c r="E42" s="1020"/>
    </row>
    <row r="43" spans="1:5" s="931" customFormat="1" x14ac:dyDescent="0.25">
      <c r="A43" s="1021"/>
      <c r="B43" s="1022"/>
      <c r="C43" s="1022"/>
      <c r="D43" s="1022"/>
      <c r="E43" s="1023"/>
    </row>
    <row r="44" spans="1:5" s="931" customFormat="1" ht="15.75" thickBot="1" x14ac:dyDescent="0.3">
      <c r="A44" s="1024"/>
      <c r="B44" s="1025"/>
      <c r="C44" s="1025"/>
      <c r="D44" s="1025"/>
      <c r="E44" s="1026"/>
    </row>
    <row r="45" spans="1:5" s="931" customFormat="1" ht="15.75" thickBot="1" x14ac:dyDescent="0.3">
      <c r="A45" s="991"/>
    </row>
    <row r="46" spans="1:5" s="931" customFormat="1" ht="15.75" thickBot="1" x14ac:dyDescent="0.3">
      <c r="A46" s="1018" t="s">
        <v>1306</v>
      </c>
      <c r="B46" s="1019"/>
      <c r="C46" s="1019"/>
      <c r="D46" s="1019"/>
      <c r="E46" s="1020"/>
    </row>
    <row r="47" spans="1:5" s="931" customFormat="1" ht="15.75" x14ac:dyDescent="0.25">
      <c r="A47" s="992" t="s">
        <v>1307</v>
      </c>
      <c r="B47" s="993"/>
      <c r="C47" s="1004" t="s">
        <v>1308</v>
      </c>
      <c r="D47" s="994"/>
      <c r="E47" s="995"/>
    </row>
    <row r="48" spans="1:5" s="931" customFormat="1" ht="15" customHeight="1" x14ac:dyDescent="0.25">
      <c r="A48" s="992" t="s">
        <v>1309</v>
      </c>
      <c r="B48" s="993"/>
      <c r="C48" s="1005"/>
      <c r="D48" s="998" t="s">
        <v>1310</v>
      </c>
      <c r="E48" s="1006"/>
    </row>
    <row r="49" spans="1:5" s="931" customFormat="1" ht="15.75" x14ac:dyDescent="0.25">
      <c r="A49" s="992" t="s">
        <v>1311</v>
      </c>
      <c r="B49" s="993"/>
      <c r="C49" s="1005"/>
      <c r="D49" s="994" t="s">
        <v>1312</v>
      </c>
      <c r="E49" s="1006"/>
    </row>
    <row r="50" spans="1:5" s="931" customFormat="1" ht="15.75" x14ac:dyDescent="0.25">
      <c r="A50" s="992" t="s">
        <v>1313</v>
      </c>
      <c r="B50" s="993"/>
      <c r="C50" s="1005"/>
      <c r="D50" s="994"/>
      <c r="E50" s="995"/>
    </row>
    <row r="51" spans="1:5" s="931" customFormat="1" ht="15.75" x14ac:dyDescent="0.25">
      <c r="A51" s="992" t="s">
        <v>1314</v>
      </c>
      <c r="B51" s="993"/>
      <c r="C51" s="1005"/>
      <c r="D51" s="994" t="s">
        <v>1315</v>
      </c>
      <c r="E51" s="1006"/>
    </row>
    <row r="52" spans="1:5" s="931" customFormat="1" ht="15.75" x14ac:dyDescent="0.25">
      <c r="A52" s="992" t="s">
        <v>1316</v>
      </c>
      <c r="B52" s="993"/>
      <c r="C52" s="996"/>
      <c r="D52" s="993"/>
      <c r="E52" s="997"/>
    </row>
    <row r="53" spans="1:5" s="931" customFormat="1" x14ac:dyDescent="0.25">
      <c r="A53" s="1012"/>
      <c r="B53" s="1013"/>
      <c r="C53" s="1013"/>
      <c r="D53" s="1013"/>
      <c r="E53" s="1014"/>
    </row>
    <row r="54" spans="1:5" s="931" customFormat="1" ht="15.75" thickBot="1" x14ac:dyDescent="0.3">
      <c r="A54" s="1015"/>
      <c r="B54" s="1016"/>
      <c r="C54" s="1016"/>
      <c r="D54" s="1016"/>
      <c r="E54" s="1017"/>
    </row>
    <row r="55" spans="1:5" ht="15.75" thickBot="1" x14ac:dyDescent="0.3">
      <c r="A55" s="991"/>
      <c r="B55" s="931"/>
      <c r="C55" s="931"/>
      <c r="D55" s="931"/>
      <c r="E55" s="931"/>
    </row>
    <row r="56" spans="1:5" ht="30.75" customHeight="1" thickBot="1" x14ac:dyDescent="0.3">
      <c r="A56" s="1034" t="s">
        <v>806</v>
      </c>
      <c r="B56" s="1035"/>
      <c r="C56" s="1035"/>
      <c r="D56" s="1035"/>
      <c r="E56" s="1036"/>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7" t="s">
        <v>818</v>
      </c>
      <c r="B67" s="1038"/>
      <c r="C67" s="1038"/>
      <c r="D67" s="1038"/>
      <c r="E67" s="1039"/>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7" t="s">
        <v>1318</v>
      </c>
      <c r="B74" s="1028"/>
      <c r="C74" s="1028"/>
      <c r="D74" s="1028"/>
      <c r="E74" s="1029"/>
    </row>
    <row r="75" spans="1:5" ht="30.95" customHeight="1" thickBot="1" x14ac:dyDescent="0.3">
      <c r="A75" s="1002" t="s">
        <v>822</v>
      </c>
      <c r="B75" s="309"/>
      <c r="C75" s="999" t="s">
        <v>808</v>
      </c>
      <c r="D75" s="309"/>
    </row>
    <row r="76" spans="1:5" ht="30.95" customHeight="1" thickBot="1" x14ac:dyDescent="0.3">
      <c r="A76" s="1002" t="s">
        <v>1319</v>
      </c>
      <c r="B76" s="309"/>
      <c r="C76" s="999" t="s">
        <v>810</v>
      </c>
      <c r="D76" s="1003" t="s">
        <v>1320</v>
      </c>
    </row>
    <row r="77" spans="1:5" ht="15" customHeight="1" thickBot="1" x14ac:dyDescent="0.3">
      <c r="A77" s="1000"/>
      <c r="B77" s="1000"/>
      <c r="C77" s="1001"/>
      <c r="D77" s="1001"/>
      <c r="E77" s="1001"/>
    </row>
    <row r="78" spans="1:5" ht="15.75" thickBot="1" x14ac:dyDescent="0.3">
      <c r="A78" s="1030" t="s">
        <v>821</v>
      </c>
      <c r="B78" s="1031"/>
      <c r="C78" s="1031"/>
      <c r="D78" s="1031"/>
      <c r="E78" s="1032"/>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0" t="s">
        <v>823</v>
      </c>
      <c r="B83" s="1031"/>
      <c r="C83" s="1031"/>
      <c r="D83" s="1031"/>
      <c r="E83" s="1032"/>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5574</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f>'Existing Customers'!$L$2</f>
        <v>0</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0"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5"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7"/>
      <c r="D9" s="817"/>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0"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dPpJCFIweU4gaXTPmETtOqpecF1XnfakhY8CN7Wdj5tbWtrmY3H+OHKmkGcbLfc3yWVxjZBslkKuw+onm8awHw==" saltValue="rBehOYhyq1xPXMjOn/Vlpg=="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6"/>
      <c r="G3" s="816"/>
      <c r="H3" s="816"/>
      <c r="I3" s="1082" t="str">
        <f>IF(AI4&gt;0,"HYBRID DEALS WITH HOSPITALITY AND INDEPENDENT RESTAURANT CUSTOMERS ARE CURRENTLY NOT ALLOWED IN ALC. PLEASE REMOVE THE CUSTOMER NUMBER!","")</f>
        <v/>
      </c>
      <c r="J3" s="1082"/>
      <c r="K3" s="1082"/>
      <c r="L3" s="817"/>
      <c r="M3" s="1070" t="str">
        <f>IF(COUNTIFS($M$6:$M$15,"&gt;0")&lt;$C$4,"Must Enter Expected Sales for All Locations","")</f>
        <v/>
      </c>
      <c r="N3" s="1070"/>
      <c r="O3" s="1070"/>
      <c r="P3" s="816"/>
      <c r="Q3" s="816"/>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8"/>
      <c r="G4" s="818"/>
      <c r="H4" s="818"/>
      <c r="I4" s="818"/>
      <c r="J4" s="818"/>
      <c r="K4" s="818"/>
      <c r="L4" s="1071" t="str">
        <f>IF(COUNTIFS($M$6:$M$15,"&gt;0")&lt;$C$4,"VVVVV","")</f>
        <v/>
      </c>
      <c r="M4" s="1071"/>
      <c r="N4" s="1071"/>
      <c r="O4" s="816"/>
      <c r="P4" s="816"/>
      <c r="Q4" s="819"/>
      <c r="R4" s="681"/>
      <c r="S4" s="140"/>
      <c r="T4" s="140"/>
      <c r="U4" s="140"/>
      <c r="V4" s="140"/>
      <c r="W4" s="140"/>
      <c r="Z4" s="2"/>
      <c r="AA4" s="140"/>
      <c r="AC4" s="140"/>
      <c r="AD4" s="140"/>
      <c r="AE4" s="140"/>
      <c r="AF4" s="483">
        <f>Welcome!D6</f>
        <v>0</v>
      </c>
      <c r="AG4" s="483"/>
      <c r="AH4" s="483"/>
      <c r="AI4" s="809">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5" t="s">
        <v>954</v>
      </c>
      <c r="I5" s="706" t="s">
        <v>1089</v>
      </c>
      <c r="J5" s="706" t="s">
        <v>951</v>
      </c>
      <c r="K5" s="706" t="s">
        <v>952</v>
      </c>
      <c r="L5" s="707" t="s">
        <v>955</v>
      </c>
      <c r="M5" s="826" t="s">
        <v>960</v>
      </c>
      <c r="N5" s="827" t="s">
        <v>1090</v>
      </c>
      <c r="O5" s="827" t="s">
        <v>938</v>
      </c>
      <c r="P5" s="827" t="s">
        <v>209</v>
      </c>
      <c r="Q5" s="828"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0" t="str">
        <f>IF($C$4&gt;=$C6,IF(SUMIF('Existing Customers'!$A:$A,'Customer Inputs'!$G6,'Existing Customers'!$Q:$Q)=0,"Enter Spend&gt;&gt;&gt;",ROUND(SUMIF('Existing Customers'!$A:$A,'Customer Inputs'!$G6,'Existing Customers'!$Q:$Q),0)),"")</f>
        <v/>
      </c>
      <c r="I6" s="811" t="str">
        <f>IF($F6="","",'Multi-Customer'!$AU47)</f>
        <v/>
      </c>
      <c r="J6" s="812" t="str">
        <f>IF($F6="","",IFERROR(VLOOKUP($G6,'Existing Customers'!$A:$F,6,FALSE),"Enter Menu Type&gt;&gt;"))</f>
        <v/>
      </c>
      <c r="K6" s="813" t="str">
        <f>IFERROR(IF($C$4&gt;=$C6,VLOOKUP($G6,'Existing Customers'!$A:$J,10,FALSE),""),"Enter Zip Code &gt;")</f>
        <v/>
      </c>
      <c r="L6" s="824" t="str">
        <f>IF($F6="","",'Multi-Customer'!$AU48)</f>
        <v/>
      </c>
      <c r="M6" s="831"/>
      <c r="N6" s="685"/>
      <c r="O6" s="832"/>
      <c r="P6" s="833"/>
      <c r="Q6" s="834"/>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7" t="str">
        <f>IFERROR(IF($C$4&gt;=$C7,VLOOKUP($G7,'Existing Customers'!$A:$J,10,FALSE),""),"Enter Zip Code &gt;")</f>
        <v/>
      </c>
      <c r="L7" s="825" t="str">
        <f>IF($F7="","",'Multi-Customer'!$BD48)</f>
        <v/>
      </c>
      <c r="M7" s="835"/>
      <c r="N7" s="686"/>
      <c r="O7" s="829"/>
      <c r="P7" s="830"/>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7" t="str">
        <f>IFERROR(IF($C$4&gt;=$C8,VLOOKUP($G8,'Existing Customers'!$A:$J,10,FALSE),""),"Enter Zip Code &gt;")</f>
        <v/>
      </c>
      <c r="L8" s="825" t="str">
        <f>IF($F8="","",'Multi-Customer'!$BM48)</f>
        <v/>
      </c>
      <c r="M8" s="835"/>
      <c r="N8" s="686"/>
      <c r="O8" s="829"/>
      <c r="P8" s="830"/>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7" t="str">
        <f>IFERROR(IF($C$4&gt;=$C9,VLOOKUP($G9,'Existing Customers'!$A:$J,10,FALSE),""),"Enter Zip Code &gt;")</f>
        <v/>
      </c>
      <c r="L9" s="825" t="str">
        <f>IF($F9="","",'Multi-Customer'!$BV48)</f>
        <v/>
      </c>
      <c r="M9" s="835"/>
      <c r="N9" s="686"/>
      <c r="O9" s="829"/>
      <c r="P9" s="830"/>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7" t="str">
        <f>IFERROR(IF($C$4&gt;=$C10,VLOOKUP($G10,'Existing Customers'!$A:$J,10,FALSE),""),"Enter Zip Code &gt;")</f>
        <v/>
      </c>
      <c r="L10" s="825" t="str">
        <f>IF($F10="","",'Multi-Customer'!$CE48)</f>
        <v/>
      </c>
      <c r="M10" s="835"/>
      <c r="N10" s="686"/>
      <c r="O10" s="829"/>
      <c r="P10" s="830"/>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7" t="str">
        <f>IFERROR(IF($C$4&gt;=$C11,VLOOKUP($G11,'Existing Customers'!$A:$J,10,FALSE),""),"Enter Zip Code &gt;")</f>
        <v/>
      </c>
      <c r="L11" s="825" t="str">
        <f>IF($F11="","",'Multi-Customer'!$CN48)</f>
        <v/>
      </c>
      <c r="M11" s="835"/>
      <c r="N11" s="686"/>
      <c r="O11" s="829"/>
      <c r="P11" s="830"/>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7" t="str">
        <f>IFERROR(IF($C$4&gt;=$C12,VLOOKUP($G12,'Existing Customers'!$A:$J,10,FALSE),""),"Enter Zip Code &gt;")</f>
        <v/>
      </c>
      <c r="L12" s="825" t="str">
        <f>IF($F12="","",'Multi-Customer'!$CW48)</f>
        <v/>
      </c>
      <c r="M12" s="835"/>
      <c r="N12" s="686"/>
      <c r="O12" s="829"/>
      <c r="P12" s="830"/>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7" t="str">
        <f>IFERROR(IF($C$4&gt;=$C13,VLOOKUP($G13,'Existing Customers'!$A:$J,10,FALSE),""),"Enter Zip Code &gt;")</f>
        <v/>
      </c>
      <c r="L13" s="825" t="str">
        <f>IF($F13="","",'Multi-Customer'!$DF48)</f>
        <v/>
      </c>
      <c r="M13" s="835"/>
      <c r="N13" s="686"/>
      <c r="O13" s="829"/>
      <c r="P13" s="830"/>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7" t="str">
        <f>IFERROR(IF($C$4&gt;=$C14,VLOOKUP($G14,'Existing Customers'!$A:$J,10,FALSE),""),"Enter Zip Code &gt;")</f>
        <v/>
      </c>
      <c r="L14" s="825" t="str">
        <f>IF($F14="","",'Multi-Customer'!$DO48)</f>
        <v/>
      </c>
      <c r="M14" s="835"/>
      <c r="N14" s="686"/>
      <c r="O14" s="829"/>
      <c r="P14" s="830"/>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4"/>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8" t="str">
        <f>IFERROR(IF($C$4&gt;=$C15,VLOOKUP($G15,'Existing Customers'!$A:$J,10,FALSE),""),"Enter Zip Code &gt;")</f>
        <v/>
      </c>
      <c r="L15" s="821" t="str">
        <f>IF($F15="","",'Multi-Customer'!$DX48)</f>
        <v/>
      </c>
      <c r="M15" s="836"/>
      <c r="N15" s="687"/>
      <c r="O15" s="837"/>
      <c r="P15" s="838"/>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6"/>
      <c r="G16" s="816"/>
      <c r="H16" s="820"/>
      <c r="I16" s="816"/>
      <c r="J16" s="816"/>
      <c r="K16" s="816"/>
      <c r="L16" s="816"/>
      <c r="M16" s="816"/>
      <c r="N16" s="816"/>
      <c r="O16" s="816"/>
      <c r="P16" s="816"/>
      <c r="Q16" s="816"/>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6"/>
      <c r="G17" s="1074" t="s">
        <v>958</v>
      </c>
      <c r="H17" s="1072">
        <f>SUM($H$6:$H$15)</f>
        <v>0</v>
      </c>
      <c r="I17" s="816"/>
      <c r="J17" s="816"/>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6"/>
      <c r="Q17" s="816"/>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6"/>
      <c r="G18" s="1075"/>
      <c r="H18" s="1073"/>
      <c r="I18" s="816"/>
      <c r="J18" s="816"/>
      <c r="K18" s="1078"/>
      <c r="L18" s="1079"/>
      <c r="M18" s="1073"/>
      <c r="N18" s="1080"/>
      <c r="O18" s="1081"/>
      <c r="P18" s="816"/>
      <c r="Q18" s="816"/>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4" t="e">
        <f>VLOOKUP($H$4,'Market Geography'!$D:$G,4,FALSE)</f>
        <v>#N/A</v>
      </c>
      <c r="I3" s="1095"/>
      <c r="J3" s="1095"/>
      <c r="K3" s="109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1">
        <f>Welcome!$D$4</f>
        <v>0</v>
      </c>
      <c r="I4" s="1092"/>
      <c r="J4" s="1092"/>
      <c r="K4" s="109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1" t="str">
        <f>'Multi-Customer'!$M$47</f>
        <v>Enter Customer(s)</v>
      </c>
      <c r="I5" s="1092"/>
      <c r="J5" s="1092"/>
      <c r="K5" s="109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1" t="str">
        <f>'Multi-Customer'!$M$83</f>
        <v>MULTIPLE MENU TYPES</v>
      </c>
      <c r="I6" s="1092"/>
      <c r="J6" s="1092"/>
      <c r="K6" s="109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97" t="s">
        <v>211</v>
      </c>
      <c r="I7" s="1098"/>
      <c r="J7" s="1098"/>
      <c r="K7" s="109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2"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3"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3"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3"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3"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3"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3"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3"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3"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3"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3"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3"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88" t="s">
        <v>119</v>
      </c>
      <c r="H33" s="1089"/>
      <c r="I33" s="517" t="e">
        <f>IF($E$3="MDA",'PIM Ranges'!$AX$7,'PIM Ranges'!$BJ$7)</f>
        <v>#DIV/0!</v>
      </c>
      <c r="J33" s="140"/>
      <c r="K33" s="1090" t="str">
        <f>IF(COUNTIF($AB$10:$AB$30,"ERROR")&lt;1,"",IF(COUNTIF($AB$10:$AB$30,"ERROR")&lt;2,(COUNTIF($AB$10:$AB$30,"ERROR")&amp;" Margin Missing Above"),(COUNTIF($AB$10:$AB$30,"ERROR")&amp;" Margins Missing Above")))</f>
        <v/>
      </c>
      <c r="L33" s="109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83" t="s">
        <v>505</v>
      </c>
      <c r="H34" s="1084"/>
      <c r="I34" s="513">
        <f>J31</f>
        <v>0</v>
      </c>
      <c r="J34" s="140"/>
      <c r="K34" s="1090" t="str">
        <f>IF(COUNTIFS($L$10:$L$30,"X",$AF$10:$AF$30,"BELOW")&lt;1,"",IF(COUNTIFS($L$10:$L$30,"X",$AF$10:$AF$30,"BELOW")&lt;2,(COUNTIFS($L$10:$L$30,"X",$AF$10:$AF$30,"BELOW")&amp;" Margin Below Minimum"),(COUNTIFS($L$10:$L$30,"X",$AF$10:$AF$30,"BELOW")&amp;" Margins Below Minimum")))</f>
        <v/>
      </c>
      <c r="L34" s="109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83" t="s">
        <v>506</v>
      </c>
      <c r="H35" s="1084"/>
      <c r="I35" s="514" t="str">
        <f>IFERROR(I34/G31,"")</f>
        <v/>
      </c>
      <c r="K35" s="1090" t="str">
        <f>IF(COUNTIFS($L$10:$L$30,"X",$AF$10:$AF$30,"ABOVE")&lt;1,"",IF(COUNTIFS($L$10:$L$30,"X",$AF$10:$AF$30,"ABOVE")&lt;2,(COUNTIFS($L$10:$L$30,"X",$AF$10:$AF$30,"ABOVE")&amp;" Margin Above Maximum"),(COUNTIFS($L$10:$L$30,"X",$AF$10:$AF$30,"ABOVE")&amp;" Margins Above Maximum")))</f>
        <v/>
      </c>
      <c r="L35" s="109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83"/>
      <c r="H36" s="108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83" t="str">
        <f>IFERROR(IF(I35&gt;I33,"","Below Recommended TAGP: "),"")</f>
        <v/>
      </c>
      <c r="H37" s="108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83"/>
      <c r="H38" s="108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83" t="s">
        <v>507</v>
      </c>
      <c r="H39" s="108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85" t="s">
        <v>508</v>
      </c>
      <c r="H40" s="1086"/>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87"/>
      <c r="G52" s="10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87"/>
      <c r="G53" s="10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87"/>
      <c r="G54" s="10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wy86pCfcf4S7TlR9UrvbxJn/S5G3B+RkjIo7ciASfQiL06MLbUC94WK7udApXdmhQgc76C7mMfS/8BneiKnwsw==" saltValue="bxM3dDYGEIJzzrowsKX0u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4" t="e">
        <f>VLOOKUP($L$4,'Market Geography'!$D:$G,4,FALSE)</f>
        <v>#N/A</v>
      </c>
      <c r="M3" s="1095" t="e">
        <f>IF(#REF!="New Business",#REF!,#REF!)</f>
        <v>#REF!</v>
      </c>
      <c r="N3" s="109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1">
        <f>Welcome!$D$4</f>
        <v>0</v>
      </c>
      <c r="M4" s="1092"/>
      <c r="N4" s="109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1" t="str">
        <f>'Multi-Customer'!$M$47</f>
        <v>Enter Customer(s)</v>
      </c>
      <c r="M5" s="1092"/>
      <c r="N5" s="1093"/>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1" t="str">
        <f>'Multi-Customer'!$M$83</f>
        <v>MULTIPLE MENU TYPES</v>
      </c>
      <c r="M6" s="1092"/>
      <c r="N6" s="1093"/>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3" t="s">
        <v>211</v>
      </c>
      <c r="M7" s="1114"/>
      <c r="N7" s="111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6"/>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69"/>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0">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0">
        <v>1.4999999999999999E-2</v>
      </c>
      <c r="J19" s="151"/>
      <c r="K19" s="1101" t="str">
        <f>IF($I$21&gt;0,"**Warning: You have entered an incentive payout above the recommended 3%**","")</f>
        <v/>
      </c>
      <c r="L19" s="151"/>
      <c r="M19" s="1010"/>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0">
        <v>0.02</v>
      </c>
      <c r="J20" s="151"/>
      <c r="K20" s="1101"/>
      <c r="L20" s="151"/>
      <c r="M20" s="1010"/>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69">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0">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0">
        <v>1.4999999999999999E-2</v>
      </c>
      <c r="J30" s="151"/>
      <c r="K30" s="1101" t="str">
        <f>IF($I$32&gt;0,"**Warning: You have entered an incentive payout above the recommended 3%**","")</f>
        <v/>
      </c>
      <c r="L30" s="151"/>
      <c r="M30" s="1010"/>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0">
        <v>0.02</v>
      </c>
      <c r="J31" s="44"/>
      <c r="K31" s="1101"/>
      <c r="L31" s="44"/>
      <c r="M31" s="1010"/>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69">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0">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0">
        <v>1.4999999999999999E-2</v>
      </c>
      <c r="J41" s="260"/>
      <c r="K41" s="44"/>
      <c r="L41" s="201"/>
      <c r="M41" s="1010"/>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0">
        <v>0.02</v>
      </c>
      <c r="J42" s="260"/>
      <c r="K42" s="44"/>
      <c r="L42" s="201"/>
      <c r="M42" s="1010"/>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2">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1321</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1"/>
      <c r="H58" s="201"/>
      <c r="I58" s="693"/>
      <c r="J58" s="260"/>
      <c r="K58" s="951"/>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8" t="s">
        <v>556</v>
      </c>
      <c r="H63" s="201"/>
      <c r="I63" s="920" t="s">
        <v>1094</v>
      </c>
      <c r="J63" s="151"/>
      <c r="K63" s="435">
        <f>IF('Customer Inputs'!$G$6="New Store","New Customer 1",'Customer Inputs'!$G$6)</f>
        <v>0</v>
      </c>
      <c r="L63" s="201"/>
      <c r="M63" s="964"/>
      <c r="N63" s="275"/>
      <c r="O63" s="186"/>
      <c r="Q63" s="763"/>
    </row>
    <row r="64" spans="2:27" s="908" customFormat="1" x14ac:dyDescent="0.25">
      <c r="B64" s="185"/>
      <c r="C64" s="274"/>
      <c r="D64" s="204" t="s">
        <v>553</v>
      </c>
      <c r="E64" s="73" t="s">
        <v>556</v>
      </c>
      <c r="F64" s="151"/>
      <c r="G64" s="201"/>
      <c r="H64" s="201"/>
      <c r="I64" s="110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05"/>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05"/>
      <c r="J66" s="212"/>
      <c r="K66" s="950"/>
      <c r="L66" s="201"/>
      <c r="M66" s="213">
        <f>IFERROR(IF($E$64="YES",K66/$G$4,0),0)</f>
        <v>0</v>
      </c>
      <c r="N66" s="275"/>
      <c r="O66" s="186"/>
      <c r="Q66" s="913"/>
    </row>
    <row r="67" spans="2:17" s="183" customFormat="1" ht="11.45" customHeight="1" x14ac:dyDescent="0.25">
      <c r="B67" s="281"/>
      <c r="C67" s="215"/>
      <c r="D67" s="221"/>
      <c r="E67" s="221"/>
      <c r="F67" s="923"/>
      <c r="G67" s="923"/>
      <c r="H67" s="221"/>
      <c r="I67" s="1106"/>
      <c r="J67" s="221"/>
      <c r="K67" s="221"/>
      <c r="L67" s="221"/>
      <c r="M67" s="221"/>
      <c r="N67" s="282"/>
      <c r="O67" s="283"/>
    </row>
    <row r="68" spans="2:17" s="946" customFormat="1" ht="10.15" customHeight="1" x14ac:dyDescent="0.25">
      <c r="B68" s="185"/>
      <c r="C68" s="184"/>
      <c r="D68" s="184"/>
      <c r="E68" s="184"/>
      <c r="F68" s="227"/>
      <c r="G68" s="264"/>
      <c r="H68" s="184"/>
      <c r="I68" s="265"/>
      <c r="J68" s="231"/>
      <c r="K68" s="232"/>
      <c r="L68" s="184"/>
      <c r="M68" s="232"/>
      <c r="N68" s="278"/>
      <c r="O68" s="186"/>
      <c r="Q68" s="763"/>
    </row>
    <row r="69" spans="2:17" s="946" customFormat="1" ht="9" customHeight="1" x14ac:dyDescent="0.25">
      <c r="B69" s="185"/>
      <c r="C69" s="279"/>
      <c r="D69" s="194"/>
      <c r="E69" s="194"/>
      <c r="F69" s="235"/>
      <c r="G69" s="266"/>
      <c r="H69" s="194"/>
      <c r="I69" s="267"/>
      <c r="J69" s="238"/>
      <c r="K69" s="239"/>
      <c r="L69" s="194"/>
      <c r="M69" s="239"/>
      <c r="N69" s="280"/>
      <c r="O69" s="186"/>
      <c r="Q69" s="763"/>
    </row>
    <row r="70" spans="2:17" s="954" customFormat="1" ht="17.45" customHeight="1" x14ac:dyDescent="0.25">
      <c r="B70" s="185"/>
      <c r="C70" s="274"/>
      <c r="D70" s="1107" t="s">
        <v>1291</v>
      </c>
      <c r="E70" s="959"/>
      <c r="F70" s="958"/>
      <c r="G70" s="259" t="s">
        <v>1292</v>
      </c>
      <c r="H70" s="959"/>
      <c r="I70" s="259" t="s">
        <v>923</v>
      </c>
      <c r="J70" s="960"/>
      <c r="K70" s="259" t="s">
        <v>1290</v>
      </c>
      <c r="L70" s="959"/>
      <c r="M70" s="259" t="s">
        <v>1303</v>
      </c>
      <c r="N70" s="275"/>
      <c r="O70" s="186"/>
      <c r="Q70" s="763"/>
    </row>
    <row r="71" spans="2:17" s="954" customFormat="1" ht="17.45" customHeight="1" x14ac:dyDescent="0.25">
      <c r="B71" s="185"/>
      <c r="C71" s="274"/>
      <c r="D71" s="1108"/>
      <c r="E71" s="201"/>
      <c r="F71" s="958"/>
      <c r="G71" s="967"/>
      <c r="H71" s="959"/>
      <c r="I71" s="434" t="s">
        <v>1094</v>
      </c>
      <c r="J71" s="960"/>
      <c r="K71" s="967"/>
      <c r="L71" s="959"/>
      <c r="M71" s="213">
        <f>$G$71+$K$71</f>
        <v>0</v>
      </c>
      <c r="N71" s="275"/>
      <c r="O71" s="186"/>
      <c r="Q71" s="763"/>
    </row>
    <row r="72" spans="2:17" s="954" customFormat="1" ht="14.45" customHeight="1" x14ac:dyDescent="0.25">
      <c r="B72" s="185"/>
      <c r="C72" s="274"/>
      <c r="D72" s="204" t="s">
        <v>553</v>
      </c>
      <c r="E72" s="73" t="s">
        <v>556</v>
      </c>
      <c r="F72" s="958"/>
      <c r="G72" s="961"/>
      <c r="H72" s="959"/>
      <c r="I72" s="267"/>
      <c r="J72" s="960"/>
      <c r="K72" s="239"/>
      <c r="L72" s="959"/>
      <c r="M72" s="1111" t="str">
        <f>IF($M$71&gt;=10000,"The amount entered is $10,000 or above. This model can be submitted but will require additional approved before the agreement can be generated. Business Context will need to be provided","")</f>
        <v/>
      </c>
      <c r="N72" s="1112"/>
      <c r="O72" s="186"/>
      <c r="Q72" s="763"/>
    </row>
    <row r="73" spans="2:17" s="946" customFormat="1" ht="34.5" customHeight="1" x14ac:dyDescent="0.25">
      <c r="B73" s="185"/>
      <c r="C73" s="274"/>
      <c r="D73" s="1110" t="s">
        <v>1322</v>
      </c>
      <c r="E73" s="1110"/>
      <c r="F73" s="958"/>
      <c r="G73" s="1109" t="s">
        <v>1323</v>
      </c>
      <c r="H73" s="1109"/>
      <c r="I73" s="1109"/>
      <c r="J73" s="1109"/>
      <c r="K73" s="1109"/>
      <c r="L73" s="201"/>
      <c r="M73" s="1111"/>
      <c r="N73" s="1112"/>
      <c r="O73" s="186"/>
      <c r="Q73" s="763"/>
    </row>
    <row r="74" spans="2:17" s="946" customFormat="1" ht="16.5" customHeight="1" x14ac:dyDescent="0.25">
      <c r="B74" s="185"/>
      <c r="C74" s="274"/>
      <c r="D74" s="201"/>
      <c r="E74" s="151"/>
      <c r="F74" s="921"/>
      <c r="G74" s="957" t="s">
        <v>1287</v>
      </c>
      <c r="H74" s="209"/>
      <c r="I74" s="6" t="s">
        <v>1288</v>
      </c>
      <c r="J74" s="201"/>
      <c r="K74" s="259" t="s">
        <v>1286</v>
      </c>
      <c r="L74" s="201"/>
      <c r="M74" s="6" t="s">
        <v>509</v>
      </c>
      <c r="N74" s="275"/>
      <c r="O74" s="186"/>
      <c r="Q74" s="763"/>
    </row>
    <row r="75" spans="2:17" s="946" customFormat="1" ht="18" customHeight="1" x14ac:dyDescent="0.25">
      <c r="B75" s="185"/>
      <c r="C75" s="274"/>
      <c r="D75" s="201"/>
      <c r="E75" s="201"/>
      <c r="F75" s="922" t="s">
        <v>1216</v>
      </c>
      <c r="G75" s="948"/>
      <c r="H75" s="212"/>
      <c r="I75" s="949"/>
      <c r="J75" s="201"/>
      <c r="K75" s="965"/>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8"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50">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00" t="s">
        <v>1227</v>
      </c>
      <c r="G87" s="1100"/>
      <c r="H87" s="151"/>
      <c r="I87" s="259" t="s">
        <v>923</v>
      </c>
      <c r="J87" s="151"/>
      <c r="K87" s="259" t="s">
        <v>904</v>
      </c>
      <c r="L87" s="151"/>
      <c r="M87" s="151"/>
      <c r="N87" s="790"/>
      <c r="O87" s="283"/>
    </row>
    <row r="88" spans="2:20" s="183" customFormat="1" ht="18" customHeight="1" x14ac:dyDescent="0.25">
      <c r="B88" s="281"/>
      <c r="C88" s="199"/>
      <c r="D88" s="257" t="s">
        <v>1106</v>
      </c>
      <c r="E88" s="151"/>
      <c r="F88" s="1100"/>
      <c r="G88" s="1100"/>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00"/>
      <c r="G89" s="1100"/>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2"/>
      <c r="H91" s="151"/>
      <c r="I91" s="151"/>
      <c r="J91" s="151"/>
      <c r="K91" s="241"/>
      <c r="L91" s="201"/>
      <c r="M91" s="213">
        <f>IFERROR(IF($E89="YES",$G$91*$H$10,0),0)</f>
        <v>0</v>
      </c>
      <c r="N91" s="790"/>
      <c r="O91" s="283"/>
    </row>
    <row r="92" spans="2:20" s="183" customFormat="1" ht="11.45" customHeight="1" x14ac:dyDescent="0.25">
      <c r="B92" s="281"/>
      <c r="C92" s="215"/>
      <c r="D92" s="221"/>
      <c r="E92" s="221"/>
      <c r="F92" s="221"/>
      <c r="G92" s="990" t="s">
        <v>1305</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02"/>
      <c r="D98" s="1102"/>
      <c r="I98" s="724"/>
      <c r="L98" s="5"/>
      <c r="M98" s="1103"/>
      <c r="N98" s="1103"/>
      <c r="P98"/>
    </row>
  </sheetData>
  <sheetProtection algorithmName="SHA-512" hashValue="QarN/XFD3GMwFy/ZYikQPa8ojA0zRKcsPPRbd1zy29E19WdBkNa0dC/m0RaUcJUkkqJIni6qCVLQFpLkAfWBLg==" saltValue="JCe6WTB1WwWrDLWjewIwoA=="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39" t="s">
        <v>215</v>
      </c>
      <c r="D2" s="1139"/>
      <c r="E2" s="1139"/>
      <c r="F2" s="557"/>
      <c r="G2" s="179"/>
      <c r="H2" s="179"/>
      <c r="I2" s="179"/>
      <c r="J2" s="179"/>
      <c r="K2" s="179"/>
      <c r="L2" s="182"/>
    </row>
    <row r="3" spans="2:23" x14ac:dyDescent="0.25">
      <c r="B3" s="185"/>
      <c r="C3" s="1145" t="s">
        <v>381</v>
      </c>
      <c r="D3" s="1146"/>
      <c r="E3" s="425">
        <f>Welcome!$D$8</f>
        <v>0</v>
      </c>
      <c r="F3" s="429"/>
      <c r="G3" s="523" t="s">
        <v>110</v>
      </c>
      <c r="H3" s="1143" t="str">
        <f>IFERROR(VLOOKUP($H$4,'Market Geography'!$D:$G,4,FALSE),"Select Market")</f>
        <v>Select Market</v>
      </c>
      <c r="I3" s="1143"/>
      <c r="J3" s="1143"/>
      <c r="K3" s="1144"/>
      <c r="L3" s="186"/>
    </row>
    <row r="4" spans="2:23" x14ac:dyDescent="0.25">
      <c r="B4" s="185"/>
      <c r="C4" s="1130" t="s">
        <v>216</v>
      </c>
      <c r="D4" s="1131"/>
      <c r="E4" s="393">
        <f>Welcome!$D$12</f>
        <v>0</v>
      </c>
      <c r="F4" s="558"/>
      <c r="G4" s="524" t="s">
        <v>120</v>
      </c>
      <c r="H4" s="1126">
        <f>Welcome!$D$4</f>
        <v>0</v>
      </c>
      <c r="I4" s="1126"/>
      <c r="J4" s="1126"/>
      <c r="K4" s="1127"/>
      <c r="L4" s="186"/>
    </row>
    <row r="5" spans="2:23" x14ac:dyDescent="0.25">
      <c r="B5" s="185"/>
      <c r="C5" s="1130" t="s">
        <v>202</v>
      </c>
      <c r="D5" s="1131"/>
      <c r="E5" s="149">
        <f>'PIM Model'!$G$31</f>
        <v>0</v>
      </c>
      <c r="F5" s="559"/>
      <c r="G5" s="524" t="s">
        <v>107</v>
      </c>
      <c r="H5" s="1126" t="str">
        <f>'Multi-Customer'!$M$47</f>
        <v>Enter Customer(s)</v>
      </c>
      <c r="I5" s="1126"/>
      <c r="J5" s="1126"/>
      <c r="K5" s="1127"/>
      <c r="L5" s="186"/>
    </row>
    <row r="6" spans="2:23" x14ac:dyDescent="0.25">
      <c r="B6" s="185"/>
      <c r="C6" s="1130" t="s">
        <v>493</v>
      </c>
      <c r="D6" s="1131"/>
      <c r="E6" s="150">
        <f>'PIM Model'!$E$6</f>
        <v>0</v>
      </c>
      <c r="F6" s="429"/>
      <c r="G6" s="524" t="s">
        <v>410</v>
      </c>
      <c r="H6" s="1126" t="str">
        <f>'Multi-Customer'!$M$83</f>
        <v>MULTIPLE MENU TYPES</v>
      </c>
      <c r="I6" s="1126"/>
      <c r="J6" s="1126"/>
      <c r="K6" s="1127"/>
      <c r="L6" s="186"/>
      <c r="R6" s="560"/>
    </row>
    <row r="7" spans="2:23" ht="15.75" thickBot="1" x14ac:dyDescent="0.3">
      <c r="B7" s="185"/>
      <c r="C7" s="1132" t="s">
        <v>547</v>
      </c>
      <c r="D7" s="1133"/>
      <c r="E7" s="426">
        <f>IFERROR('PIM Ranges'!$AU$3,0)</f>
        <v>0</v>
      </c>
      <c r="F7" s="184"/>
      <c r="G7" s="525" t="s">
        <v>225</v>
      </c>
      <c r="H7" s="1128" t="s">
        <v>211</v>
      </c>
      <c r="I7" s="1128"/>
      <c r="J7" s="1128"/>
      <c r="K7" s="1129"/>
      <c r="L7" s="186"/>
      <c r="P7" s="184"/>
      <c r="Q7" s="159"/>
      <c r="R7" s="561"/>
      <c r="S7" s="140"/>
      <c r="T7" s="159"/>
      <c r="U7" s="184"/>
      <c r="V7" s="159"/>
      <c r="W7" s="184"/>
    </row>
    <row r="8" spans="2:23" ht="13.9" customHeight="1" x14ac:dyDescent="0.25">
      <c r="B8" s="185"/>
      <c r="D8" s="142"/>
      <c r="E8" s="1087"/>
      <c r="F8" s="10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4" t="s">
        <v>754</v>
      </c>
      <c r="J10" s="113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8" t="str">
        <f>IFERROR($E11/$E$5,"")</f>
        <v/>
      </c>
      <c r="J11" s="1138"/>
      <c r="K11" s="275"/>
      <c r="L11" s="186"/>
      <c r="R11" s="560"/>
    </row>
    <row r="12" spans="2:23" ht="36" customHeight="1" x14ac:dyDescent="0.25">
      <c r="B12" s="185"/>
      <c r="C12" s="274"/>
      <c r="D12" s="1136" t="s">
        <v>712</v>
      </c>
      <c r="E12" s="1136"/>
      <c r="F12" s="570"/>
      <c r="G12" s="571"/>
      <c r="H12" s="201"/>
      <c r="I12" s="572"/>
      <c r="J12" s="573"/>
      <c r="K12" s="275"/>
      <c r="L12" s="186"/>
    </row>
    <row r="13" spans="2:23" s="863" customFormat="1" ht="23.45" customHeight="1" x14ac:dyDescent="0.25">
      <c r="B13" s="185"/>
      <c r="C13" s="274"/>
      <c r="D13" s="567" t="s">
        <v>1228</v>
      </c>
      <c r="E13" s="568">
        <f>'Tracking &amp; Profitability'!E26*-1</f>
        <v>0</v>
      </c>
      <c r="F13" s="201"/>
      <c r="G13" s="569">
        <f>'Tracking &amp; Profitability'!G26*-1</f>
        <v>0</v>
      </c>
      <c r="H13" s="201"/>
      <c r="I13" s="1138" t="str">
        <f>IFERROR(E13/E5,"")</f>
        <v/>
      </c>
      <c r="J13" s="1138"/>
      <c r="K13" s="275"/>
      <c r="L13" s="186"/>
    </row>
    <row r="14" spans="2:23" s="863" customFormat="1" ht="36.6" customHeight="1" x14ac:dyDescent="0.25">
      <c r="B14" s="185"/>
      <c r="C14" s="274"/>
      <c r="D14" s="1136" t="s">
        <v>1229</v>
      </c>
      <c r="E14" s="1136"/>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8" t="str">
        <f>IFERROR($E15/$E$5,"")</f>
        <v/>
      </c>
      <c r="J15" s="1138"/>
      <c r="K15" s="275"/>
      <c r="L15" s="186"/>
    </row>
    <row r="16" spans="2:23" ht="26.45" customHeight="1" x14ac:dyDescent="0.25">
      <c r="B16" s="185"/>
      <c r="C16" s="274"/>
      <c r="D16" s="1135" t="s">
        <v>714</v>
      </c>
      <c r="E16" s="113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0" t="str">
        <f>IFERROR($E17/$E$5,"")</f>
        <v/>
      </c>
      <c r="J17" s="1140"/>
      <c r="K17" s="275"/>
      <c r="L17" s="186"/>
    </row>
    <row r="18" spans="2:12" ht="25.9" customHeight="1" thickTop="1" x14ac:dyDescent="0.25">
      <c r="B18" s="185"/>
      <c r="C18" s="274"/>
      <c r="D18" s="1135" t="s">
        <v>713</v>
      </c>
      <c r="E18" s="1137"/>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1" t="str">
        <f>IFERROR($E19/$E$5,"")</f>
        <v/>
      </c>
      <c r="J19" s="114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8" t="str">
        <f>IFERROR($E23/$E$5,"")</f>
        <v/>
      </c>
      <c r="J23" s="1138"/>
      <c r="K23" s="275"/>
      <c r="L23" s="186"/>
    </row>
    <row r="24" spans="2:12" ht="16.149999999999999" customHeight="1" x14ac:dyDescent="0.25">
      <c r="B24" s="185"/>
      <c r="C24" s="274"/>
      <c r="D24" s="1142" t="s">
        <v>971</v>
      </c>
      <c r="E24" s="114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4" t="s">
        <v>754</v>
      </c>
      <c r="J28" s="1134"/>
      <c r="K28" s="275"/>
      <c r="L28" s="186"/>
    </row>
    <row r="29" spans="2:12" ht="25.15" customHeight="1" x14ac:dyDescent="0.25">
      <c r="B29" s="185"/>
      <c r="C29" s="274"/>
      <c r="D29" s="583" t="s">
        <v>228</v>
      </c>
      <c r="E29" s="584">
        <f>IFERROR('EB_CM (Back)'!$I$47,0)</f>
        <v>0</v>
      </c>
      <c r="F29" s="201"/>
      <c r="G29" s="569">
        <f>IFERROR(E29/'PIM Model'!$H$31,0)</f>
        <v>0</v>
      </c>
      <c r="H29" s="201"/>
      <c r="I29" s="1138" t="str">
        <f>IFERROR($E29/$E$5,"")</f>
        <v/>
      </c>
      <c r="J29" s="1138"/>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8" t="str">
        <f>IFERROR($E30/$E$5,"")</f>
        <v/>
      </c>
      <c r="J30" s="1138"/>
      <c r="K30" s="275"/>
      <c r="L30" s="186"/>
    </row>
    <row r="31" spans="2:12" ht="27.6" customHeight="1" x14ac:dyDescent="0.25">
      <c r="B31" s="185"/>
      <c r="C31" s="589"/>
      <c r="D31" s="1135" t="s">
        <v>237</v>
      </c>
      <c r="E31" s="113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1"/>
      <c r="M2" s="181"/>
      <c r="N2" s="911"/>
      <c r="O2" s="594"/>
    </row>
    <row r="3" spans="1:16" ht="8.4499999999999993" customHeight="1" thickBot="1" x14ac:dyDescent="0.3">
      <c r="B3" s="185"/>
      <c r="D3" s="5"/>
      <c r="F3" s="184"/>
      <c r="G3" s="5"/>
      <c r="H3" s="5"/>
      <c r="I3" s="5"/>
      <c r="O3" s="283"/>
    </row>
    <row r="4" spans="1:16" ht="14.45" customHeight="1" x14ac:dyDescent="0.25">
      <c r="B4" s="185"/>
      <c r="C4" s="1145" t="s">
        <v>381</v>
      </c>
      <c r="D4" s="1146"/>
      <c r="E4" s="716">
        <f>Welcome!$D$8</f>
        <v>0</v>
      </c>
      <c r="F4" s="145"/>
      <c r="G4" s="523" t="s">
        <v>110</v>
      </c>
      <c r="H4" s="1143" t="str">
        <f>IFERROR(VLOOKUP($H$5,'Market Geography'!$D:$G,4,FALSE),"Select Market")</f>
        <v>Select Market</v>
      </c>
      <c r="I4" s="1143"/>
      <c r="J4" s="1143"/>
      <c r="K4" s="1144"/>
      <c r="L4" s="914"/>
      <c r="M4" s="916"/>
      <c r="N4" s="817"/>
      <c r="O4" s="595"/>
    </row>
    <row r="5" spans="1:16" x14ac:dyDescent="0.25">
      <c r="B5" s="185"/>
      <c r="C5" s="1130" t="s">
        <v>216</v>
      </c>
      <c r="D5" s="1131"/>
      <c r="E5" s="393">
        <f>Welcome!$D$12</f>
        <v>0</v>
      </c>
      <c r="F5" s="145"/>
      <c r="G5" s="524" t="s">
        <v>120</v>
      </c>
      <c r="H5" s="1126">
        <f>Welcome!$D$4</f>
        <v>0</v>
      </c>
      <c r="I5" s="1126"/>
      <c r="J5" s="1126"/>
      <c r="K5" s="1127"/>
      <c r="L5" s="914"/>
      <c r="M5" s="916"/>
      <c r="N5" s="817"/>
      <c r="O5" s="595"/>
    </row>
    <row r="6" spans="1:16" x14ac:dyDescent="0.25">
      <c r="B6" s="185"/>
      <c r="C6" s="1130" t="s">
        <v>202</v>
      </c>
      <c r="D6" s="1131"/>
      <c r="E6" s="394">
        <f>IFERROR('PIM Model'!$G$31,0)</f>
        <v>0</v>
      </c>
      <c r="F6" s="428"/>
      <c r="G6" s="524" t="s">
        <v>107</v>
      </c>
      <c r="H6" s="1126" t="str">
        <f>'Multi-Customer'!$M$47</f>
        <v>Enter Customer(s)</v>
      </c>
      <c r="I6" s="1126"/>
      <c r="J6" s="1126"/>
      <c r="K6" s="1127"/>
      <c r="L6" s="914"/>
      <c r="M6" s="916"/>
      <c r="N6" s="817"/>
      <c r="O6" s="595"/>
    </row>
    <row r="7" spans="1:16" x14ac:dyDescent="0.25">
      <c r="B7" s="185"/>
      <c r="C7" s="1130" t="s">
        <v>493</v>
      </c>
      <c r="D7" s="1131"/>
      <c r="E7" s="596">
        <f>IFERROR('Variable Costs (Back)'!$K$26,0)</f>
        <v>0</v>
      </c>
      <c r="F7" s="184"/>
      <c r="G7" s="524" t="s">
        <v>410</v>
      </c>
      <c r="H7" s="1126" t="str">
        <f>'Multi-Customer'!$M$83</f>
        <v>MULTIPLE MENU TYPES</v>
      </c>
      <c r="I7" s="1126"/>
      <c r="J7" s="1126"/>
      <c r="K7" s="1127"/>
      <c r="L7" s="914"/>
      <c r="M7" s="916"/>
      <c r="N7" s="817"/>
      <c r="O7" s="595"/>
    </row>
    <row r="8" spans="1:16" ht="15.75" thickBot="1" x14ac:dyDescent="0.3">
      <c r="B8" s="185"/>
      <c r="C8" s="1132" t="s">
        <v>547</v>
      </c>
      <c r="D8" s="1133"/>
      <c r="E8" s="426">
        <f>IFERROR('PIM Ranges'!$AU$3,0)</f>
        <v>0</v>
      </c>
      <c r="F8" s="429"/>
      <c r="G8" s="525" t="s">
        <v>225</v>
      </c>
      <c r="H8" s="1148" t="s">
        <v>211</v>
      </c>
      <c r="I8" s="1148"/>
      <c r="J8" s="1148"/>
      <c r="K8" s="1149"/>
      <c r="L8" s="915"/>
      <c r="M8" s="916"/>
      <c r="N8" s="817"/>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2"/>
      <c r="N10" s="909"/>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7"/>
      <c r="N12" s="1008"/>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7"/>
      <c r="N13" s="1008"/>
      <c r="O13" s="186"/>
      <c r="P13" s="5"/>
    </row>
    <row r="14" spans="1:16" ht="7.15" customHeight="1" x14ac:dyDescent="0.25">
      <c r="B14" s="185"/>
      <c r="C14" s="274"/>
      <c r="D14" s="781"/>
      <c r="E14" s="782"/>
      <c r="F14" s="782"/>
      <c r="G14" s="775"/>
      <c r="H14" s="775"/>
      <c r="I14" s="776"/>
      <c r="J14" s="777"/>
      <c r="K14" s="603"/>
      <c r="L14"/>
      <c r="M14" s="912"/>
      <c r="N14" s="909"/>
      <c r="O14" s="186"/>
      <c r="P14" s="5"/>
    </row>
    <row r="15" spans="1:16" ht="21" customHeight="1" x14ac:dyDescent="0.25">
      <c r="B15" s="185"/>
      <c r="C15" s="274"/>
      <c r="D15" s="781"/>
      <c r="E15" s="6" t="s">
        <v>238</v>
      </c>
      <c r="F15" s="38"/>
      <c r="G15" s="130" t="s">
        <v>376</v>
      </c>
      <c r="H15" s="605"/>
      <c r="I15" s="207" t="s">
        <v>754</v>
      </c>
      <c r="J15" s="777"/>
      <c r="K15" s="603"/>
      <c r="L15"/>
      <c r="M15" s="912"/>
      <c r="N15" s="909"/>
      <c r="O15" s="186"/>
      <c r="P15" s="5"/>
    </row>
    <row r="16" spans="1:16"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9">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6" t="str">
        <f>IF(M22="Yes","Approve",IF(E22=0,"",IF(AND(Incentives!$E$89="YES",Welcome!D16="NO"),"Reject",IF(Incentives!M71&gt;=10000,"Caution",IF(F22&gt;0.05,"Reject",IF(Incentives!K66+K74&gt;=10000,"Caution","Approve"))))))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03"/>
      <c r="K37" s="1103"/>
      <c r="L37" s="1103"/>
      <c r="M37" s="1103"/>
      <c r="N37" s="1103"/>
      <c r="O37" s="1103"/>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4">
        <f>WEEKDAY(F14,2)</f>
        <v>7</v>
      </c>
    </row>
    <row r="15" spans="3:18" ht="13.5" customHeight="1" x14ac:dyDescent="0.25">
      <c r="C15" s="143"/>
      <c r="K15" s="144"/>
    </row>
    <row r="16" spans="3:18" s="867" customFormat="1" ht="14.25" customHeight="1" x14ac:dyDescent="0.25">
      <c r="C16" s="143"/>
      <c r="E16" s="868" t="s">
        <v>1235</v>
      </c>
      <c r="F16" s="1155">
        <f>Welcome!D8</f>
        <v>0</v>
      </c>
      <c r="G16" s="1156"/>
      <c r="K16" s="144"/>
    </row>
    <row r="17" spans="1:12" s="867"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4"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4" t="s">
        <v>113</v>
      </c>
    </row>
    <row r="3" spans="1:37" x14ac:dyDescent="0.2">
      <c r="I3" s="635" t="s">
        <v>962</v>
      </c>
      <c r="J3" s="1126" t="e">
        <f>VLOOKUP($J$4,'Market Geography'!$D:$G,4,FALSE)</f>
        <v>#N/A</v>
      </c>
      <c r="K3" s="1126"/>
      <c r="O3" s="634"/>
      <c r="P3" s="634"/>
      <c r="Q3" s="634"/>
      <c r="R3" s="634"/>
      <c r="S3" s="634"/>
      <c r="T3" s="634"/>
      <c r="U3" s="634"/>
      <c r="V3" s="634"/>
      <c r="W3" s="634"/>
      <c r="X3" s="634"/>
      <c r="Y3" s="634"/>
      <c r="Z3" s="634"/>
      <c r="AA3" s="634"/>
      <c r="AH3" s="146" t="s">
        <v>74</v>
      </c>
      <c r="AI3" s="146" t="s">
        <v>1</v>
      </c>
      <c r="AJ3" s="146" t="s">
        <v>74</v>
      </c>
      <c r="AK3" s="804" t="s">
        <v>113</v>
      </c>
    </row>
    <row r="4" spans="1:37" x14ac:dyDescent="0.2">
      <c r="I4" s="635" t="s">
        <v>963</v>
      </c>
      <c r="J4" s="1126">
        <f>Welcome!$D$4</f>
        <v>0</v>
      </c>
      <c r="K4" s="1126"/>
      <c r="L4" s="636"/>
      <c r="M4" s="636"/>
      <c r="O4" s="634"/>
      <c r="P4" s="634"/>
      <c r="Q4" s="634"/>
      <c r="R4" s="634"/>
      <c r="S4" s="634"/>
      <c r="T4" s="634"/>
      <c r="U4" s="634"/>
      <c r="V4" s="634"/>
      <c r="W4" s="634"/>
      <c r="X4" s="634"/>
      <c r="Y4" s="634"/>
      <c r="Z4" s="634"/>
      <c r="AA4" s="634"/>
      <c r="AC4" s="27"/>
      <c r="AH4" s="146" t="s">
        <v>34</v>
      </c>
      <c r="AI4" s="146" t="s">
        <v>1</v>
      </c>
      <c r="AJ4" s="146" t="s">
        <v>34</v>
      </c>
      <c r="AK4" s="804" t="s">
        <v>113</v>
      </c>
    </row>
    <row r="5" spans="1:37" x14ac:dyDescent="0.2">
      <c r="I5" s="635" t="s">
        <v>964</v>
      </c>
      <c r="J5" s="1167" t="e">
        <f>VLOOKUP($J$4,'Market Geography'!$D:$F,3,FALSE)</f>
        <v>#N/A</v>
      </c>
      <c r="K5" s="1167"/>
      <c r="O5" s="634"/>
      <c r="P5" s="634"/>
      <c r="Q5" s="634"/>
      <c r="R5" s="634"/>
      <c r="S5" s="634"/>
      <c r="T5" s="634"/>
      <c r="U5" s="634"/>
      <c r="V5" s="634"/>
      <c r="W5" s="634"/>
      <c r="X5" s="634"/>
      <c r="Y5" s="634"/>
      <c r="Z5" s="634"/>
      <c r="AA5" s="634"/>
      <c r="AH5" s="146" t="s">
        <v>0</v>
      </c>
      <c r="AI5" s="146" t="s">
        <v>1</v>
      </c>
      <c r="AJ5" s="146" t="s">
        <v>0</v>
      </c>
      <c r="AK5" s="804" t="s">
        <v>113</v>
      </c>
    </row>
    <row r="6" spans="1:37" x14ac:dyDescent="0.2">
      <c r="I6" s="637" t="s">
        <v>965</v>
      </c>
      <c r="J6" s="1126" t="s">
        <v>135</v>
      </c>
      <c r="K6" s="1126" t="s">
        <v>211</v>
      </c>
      <c r="O6" s="634"/>
      <c r="P6" s="634"/>
      <c r="Q6" s="634"/>
      <c r="R6" s="634"/>
      <c r="S6" s="634"/>
      <c r="T6" s="634"/>
      <c r="U6" s="634"/>
      <c r="V6" s="634"/>
      <c r="W6" s="634"/>
      <c r="X6" s="634"/>
      <c r="Y6" s="634"/>
      <c r="Z6" s="634"/>
      <c r="AA6" s="634"/>
      <c r="AH6" s="146" t="s">
        <v>69</v>
      </c>
      <c r="AI6" s="146" t="s">
        <v>1</v>
      </c>
      <c r="AJ6" s="146" t="s">
        <v>69</v>
      </c>
      <c r="AK6" s="804" t="s">
        <v>113</v>
      </c>
    </row>
    <row r="7" spans="1:37" x14ac:dyDescent="0.2">
      <c r="I7" s="637" t="s">
        <v>966</v>
      </c>
      <c r="J7" s="1126" t="str">
        <f>IF(Welcome!$D$8="MDA","C","N")</f>
        <v>N</v>
      </c>
      <c r="K7" s="1126" t="e">
        <f>IF(#REF!="MDA","C","N")</f>
        <v>#REF!</v>
      </c>
      <c r="O7" s="634"/>
      <c r="P7" s="634"/>
      <c r="Q7" s="634"/>
      <c r="R7" s="634"/>
      <c r="S7" s="634"/>
      <c r="T7" s="634"/>
      <c r="U7" s="634"/>
      <c r="V7" s="634"/>
      <c r="W7" s="634"/>
      <c r="X7" s="634"/>
      <c r="Y7" s="634"/>
      <c r="Z7" s="634"/>
      <c r="AA7" s="634"/>
      <c r="AB7" s="27"/>
      <c r="AC7" s="27"/>
      <c r="AH7" s="146" t="s">
        <v>4</v>
      </c>
      <c r="AI7" s="146" t="s">
        <v>1</v>
      </c>
      <c r="AJ7" s="146" t="s">
        <v>4</v>
      </c>
      <c r="AK7" s="804" t="s">
        <v>113</v>
      </c>
    </row>
    <row r="8" spans="1:37" x14ac:dyDescent="0.2">
      <c r="AH8" s="146" t="s">
        <v>35</v>
      </c>
      <c r="AI8" s="146" t="s">
        <v>1</v>
      </c>
      <c r="AJ8" s="146" t="s">
        <v>35</v>
      </c>
      <c r="AK8" s="804" t="s">
        <v>113</v>
      </c>
    </row>
    <row r="9" spans="1:37" x14ac:dyDescent="0.2">
      <c r="I9" s="638"/>
      <c r="AH9" s="146" t="s">
        <v>6</v>
      </c>
      <c r="AI9" s="146" t="s">
        <v>1</v>
      </c>
      <c r="AJ9" s="146" t="s">
        <v>6</v>
      </c>
      <c r="AK9" s="804"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4"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4"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4" t="s">
        <v>113</v>
      </c>
    </row>
    <row r="13" spans="1:37" x14ac:dyDescent="0.2">
      <c r="J13" s="623"/>
      <c r="N13" s="624"/>
      <c r="AD13" s="1163" t="s">
        <v>1022</v>
      </c>
      <c r="AE13" s="1164"/>
      <c r="AF13" s="1165"/>
      <c r="AH13" s="146" t="s">
        <v>60</v>
      </c>
      <c r="AI13" s="146" t="s">
        <v>1</v>
      </c>
      <c r="AJ13" s="146" t="s">
        <v>60</v>
      </c>
      <c r="AK13" s="804"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4"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4"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4"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4"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4"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4"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4"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5"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5"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5"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5"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5"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5"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5"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5"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5"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5"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5"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5"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5"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5"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5"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6" t="s">
        <v>1210</v>
      </c>
      <c r="M17" s="49">
        <v>8.0000000000000002E-3</v>
      </c>
      <c r="O17" s="1" t="s">
        <v>577</v>
      </c>
      <c r="P17" s="1" t="s">
        <v>274</v>
      </c>
      <c r="Q17" s="1" t="s">
        <v>34</v>
      </c>
      <c r="R17" s="54">
        <v>0.11700000000000001</v>
      </c>
    </row>
    <row r="18" spans="2:18" x14ac:dyDescent="0.25">
      <c r="L18" s="865" t="s">
        <v>1211</v>
      </c>
      <c r="M18" s="49">
        <v>8.5000000000000006E-3</v>
      </c>
      <c r="O18" s="1" t="s">
        <v>578</v>
      </c>
      <c r="P18" s="1" t="s">
        <v>218</v>
      </c>
      <c r="Q18" s="1" t="s">
        <v>0</v>
      </c>
      <c r="R18" s="54">
        <v>5.3999999999999999E-2</v>
      </c>
    </row>
    <row r="19" spans="2:18" x14ac:dyDescent="0.25">
      <c r="B19" t="s">
        <v>1073</v>
      </c>
      <c r="C19">
        <f>IF(Welcome!$D$14="Select # of Locations",0,Welcome!$D$14)</f>
        <v>0</v>
      </c>
      <c r="L19" s="865"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2"/>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2"/>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2"/>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2"/>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2"/>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2"/>
      <c r="L30" s="840" t="s">
        <v>1201</v>
      </c>
      <c r="M30" s="841">
        <v>8.0000000000000002E-3</v>
      </c>
      <c r="O30" s="1" t="s">
        <v>590</v>
      </c>
      <c r="P30" s="1" t="s">
        <v>218</v>
      </c>
      <c r="Q30" s="1" t="s">
        <v>35</v>
      </c>
      <c r="R30" s="54">
        <v>8.6999999999999994E-2</v>
      </c>
    </row>
    <row r="31" spans="2:18" x14ac:dyDescent="0.25">
      <c r="E31" s="90" t="s">
        <v>1082</v>
      </c>
      <c r="F31" s="721">
        <v>4100</v>
      </c>
      <c r="G31" s="54">
        <v>8.3000000000000004E-2</v>
      </c>
      <c r="H31" s="24"/>
      <c r="K31" s="822"/>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2"/>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2"/>
      <c r="L33" s="432" t="s">
        <v>1204</v>
      </c>
      <c r="M33" s="49">
        <f t="shared" ref="M33:M42" si="1">M32+0.0005</f>
        <v>9.5000000000000015E-3</v>
      </c>
      <c r="O33" s="1" t="s">
        <v>593</v>
      </c>
      <c r="P33" s="1" t="s">
        <v>274</v>
      </c>
      <c r="Q33" s="1" t="s">
        <v>35</v>
      </c>
      <c r="R33" s="54">
        <v>0.11700000000000001</v>
      </c>
    </row>
    <row r="34" spans="1:18" ht="15.75" thickBot="1" x14ac:dyDescent="0.3">
      <c r="G34" s="24"/>
      <c r="H34" s="24"/>
      <c r="K34" s="822"/>
      <c r="L34" s="432" t="s">
        <v>1205</v>
      </c>
      <c r="M34" s="49">
        <f t="shared" si="1"/>
        <v>1.0000000000000002E-2</v>
      </c>
      <c r="O34" s="1" t="s">
        <v>594</v>
      </c>
      <c r="P34" s="1" t="s">
        <v>218</v>
      </c>
      <c r="Q34" s="1" t="s">
        <v>6</v>
      </c>
      <c r="R34" s="54">
        <v>0.06</v>
      </c>
    </row>
    <row r="35" spans="1:18" ht="15.75" thickBot="1" x14ac:dyDescent="0.3">
      <c r="A35" s="462" t="s">
        <v>989</v>
      </c>
      <c r="K35" s="822"/>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2"/>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2"/>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2"/>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2"/>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2"/>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2"/>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2"/>
      <c r="L42" s="823"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39"/>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f>VLOOKUP(AU$1,'Existing Customers'!$A:$AA,2,FALSE)</f>
        <v>0</v>
      </c>
      <c r="BC37" s="107" t="s">
        <v>855</v>
      </c>
      <c r="BD37" s="89">
        <f>VLOOKUP(BD$1,'Existing Customers'!$A:$AA,2,FALSE)</f>
        <v>0</v>
      </c>
      <c r="BL37" s="107" t="s">
        <v>855</v>
      </c>
      <c r="BM37" s="89">
        <f>VLOOKUP(BM$1,'Existing Customers'!$A:$AA,2,FALSE)</f>
        <v>0</v>
      </c>
      <c r="BU37" s="107" t="s">
        <v>855</v>
      </c>
      <c r="BV37" s="89">
        <f>VLOOKUP(BV$1,'Existing Customers'!$A:$AA,2,FALSE)</f>
        <v>0</v>
      </c>
      <c r="CD37" s="107" t="s">
        <v>855</v>
      </c>
      <c r="CE37" s="89">
        <f>VLOOKUP(CE$1,'Existing Customers'!$A:$AA,2,FALSE)</f>
        <v>0</v>
      </c>
      <c r="CM37" s="107" t="s">
        <v>855</v>
      </c>
      <c r="CN37" s="89">
        <f>VLOOKUP(CN$1,'Existing Customers'!$A:$AA,2,FALSE)</f>
        <v>0</v>
      </c>
      <c r="CV37" s="107" t="s">
        <v>855</v>
      </c>
      <c r="CW37" s="89">
        <f>VLOOKUP(CW$1,'Existing Customers'!$A:$AA,2,FALSE)</f>
        <v>0</v>
      </c>
      <c r="DE37" s="107" t="s">
        <v>855</v>
      </c>
      <c r="DF37" s="89">
        <f>VLOOKUP(DF$1,'Existing Customers'!$A:$AA,2,FALSE)</f>
        <v>0</v>
      </c>
      <c r="DN37" s="107" t="s">
        <v>855</v>
      </c>
      <c r="DO37" s="89">
        <f>VLOOKUP(DO$1,'Existing Customers'!$A:$AA,2,FALSE)</f>
        <v>0</v>
      </c>
      <c r="DW37" s="107" t="s">
        <v>855</v>
      </c>
      <c r="DX37" s="89">
        <f>VLOOKUP(DX$1,'Existing Customers'!$A:$AA,2,FALSE)</f>
        <v>0</v>
      </c>
    </row>
    <row r="38" spans="3:150" x14ac:dyDescent="0.25">
      <c r="L38" s="468">
        <f t="shared" si="33"/>
        <v>1</v>
      </c>
      <c r="M38" s="466" t="s">
        <v>114</v>
      </c>
      <c r="N38" s="469">
        <f>COUNTIF('Variable Costs (Back)'!$C$15:$C$24,M38)</f>
        <v>0</v>
      </c>
      <c r="AT38" s="107" t="s">
        <v>120</v>
      </c>
      <c r="AU38" s="89">
        <f>VLOOKUP(AU$1,'Existing Customers'!$A:$AA,12,FALSE)</f>
        <v>0</v>
      </c>
      <c r="BC38" s="107" t="s">
        <v>120</v>
      </c>
      <c r="BD38" s="89">
        <f>VLOOKUP(BD$1,'Existing Customers'!$A:$AA,12,FALSE)</f>
        <v>0</v>
      </c>
      <c r="BL38" s="107" t="s">
        <v>120</v>
      </c>
      <c r="BM38" s="89">
        <f>VLOOKUP(BM$1,'Existing Customers'!$A:$AA,12,FALSE)</f>
        <v>0</v>
      </c>
      <c r="BU38" s="107" t="s">
        <v>120</v>
      </c>
      <c r="BV38" s="89">
        <f>VLOOKUP(BV$1,'Existing Customers'!$A:$AA,12,FALSE)</f>
        <v>0</v>
      </c>
      <c r="CD38" s="107" t="s">
        <v>120</v>
      </c>
      <c r="CE38" s="89">
        <f>VLOOKUP(CE$1,'Existing Customers'!$A:$AA,12,FALSE)</f>
        <v>0</v>
      </c>
      <c r="CM38" s="107" t="s">
        <v>120</v>
      </c>
      <c r="CN38" s="89">
        <f>VLOOKUP(CN$1,'Existing Customers'!$A:$AA,12,FALSE)</f>
        <v>0</v>
      </c>
      <c r="CV38" s="107" t="s">
        <v>120</v>
      </c>
      <c r="CW38" s="89">
        <f>VLOOKUP(CW$1,'Existing Customers'!$A:$AA,12,FALSE)</f>
        <v>0</v>
      </c>
      <c r="DE38" s="107" t="s">
        <v>120</v>
      </c>
      <c r="DF38" s="89">
        <f>VLOOKUP(DF$1,'Existing Customers'!$A:$AA,12,FALSE)</f>
        <v>0</v>
      </c>
      <c r="DN38" s="107" t="s">
        <v>120</v>
      </c>
      <c r="DO38" s="89">
        <f>VLOOKUP(DO$1,'Existing Customers'!$A:$AA,12,FALSE)</f>
        <v>0</v>
      </c>
      <c r="DW38" s="107" t="s">
        <v>120</v>
      </c>
      <c r="DX38" s="89">
        <f>VLOOKUP(DX$1,'Existing Customers'!$A:$AA,12,FALSE)</f>
        <v>0</v>
      </c>
    </row>
    <row r="39" spans="3:150" x14ac:dyDescent="0.25">
      <c r="L39" s="468">
        <f t="shared" si="33"/>
        <v>1</v>
      </c>
      <c r="M39" s="466" t="s">
        <v>116</v>
      </c>
      <c r="N39" s="469">
        <f>COUNTIF('Variable Costs (Back)'!$C$15:$C$24,M39)</f>
        <v>0</v>
      </c>
      <c r="AT39" s="107" t="s">
        <v>856</v>
      </c>
      <c r="AU39" s="89">
        <f>VLOOKUP(AU$1,'Existing Customers'!$A:$AA,25,FALSE)</f>
        <v>0</v>
      </c>
      <c r="BC39" s="107" t="s">
        <v>856</v>
      </c>
      <c r="BD39" s="89">
        <f>VLOOKUP(BD$1,'Existing Customers'!$A:$AA,25,FALSE)</f>
        <v>0</v>
      </c>
      <c r="BL39" s="107" t="s">
        <v>856</v>
      </c>
      <c r="BM39" s="89">
        <f>VLOOKUP(BM$1,'Existing Customers'!$A:$AA,25,FALSE)</f>
        <v>0</v>
      </c>
      <c r="BU39" s="107" t="s">
        <v>856</v>
      </c>
      <c r="BV39" s="89">
        <f>VLOOKUP(BV$1,'Existing Customers'!$A:$AA,25,FALSE)</f>
        <v>0</v>
      </c>
      <c r="CD39" s="107" t="s">
        <v>856</v>
      </c>
      <c r="CE39" s="89">
        <f>VLOOKUP(CE$1,'Existing Customers'!$A:$AA,25,FALSE)</f>
        <v>0</v>
      </c>
      <c r="CM39" s="107" t="s">
        <v>856</v>
      </c>
      <c r="CN39" s="89">
        <f>VLOOKUP(CN$1,'Existing Customers'!$A:$AA,25,FALSE)</f>
        <v>0</v>
      </c>
      <c r="CV39" s="107" t="s">
        <v>856</v>
      </c>
      <c r="CW39" s="89">
        <f>VLOOKUP(CW$1,'Existing Customers'!$A:$AA,25,FALSE)</f>
        <v>0</v>
      </c>
      <c r="DE39" s="107" t="s">
        <v>856</v>
      </c>
      <c r="DF39" s="89">
        <f>VLOOKUP(DF$1,'Existing Customers'!$A:$AA,25,FALSE)</f>
        <v>0</v>
      </c>
      <c r="DN39" s="107" t="s">
        <v>856</v>
      </c>
      <c r="DO39" s="89">
        <f>VLOOKUP(DO$1,'Existing Customers'!$A:$AA,25,FALSE)</f>
        <v>0</v>
      </c>
      <c r="DW39" s="107" t="s">
        <v>856</v>
      </c>
      <c r="DX39" s="89">
        <f>VLOOKUP(DX$1,'Existing Customers'!$A:$AA,25,FALSE)</f>
        <v>0</v>
      </c>
    </row>
    <row r="40" spans="3:150" x14ac:dyDescent="0.25">
      <c r="L40" s="468">
        <f t="shared" si="33"/>
        <v>1</v>
      </c>
      <c r="M40" s="466" t="s">
        <v>112</v>
      </c>
      <c r="N40" s="469">
        <f>COUNTIF('Variable Costs (Back)'!$C$15:$C$24,M40)</f>
        <v>0</v>
      </c>
      <c r="AT40" s="107" t="s">
        <v>857</v>
      </c>
      <c r="AU40" s="89">
        <f>VLOOKUP(AU$1,'Existing Customers'!$A:$AA,26,FALSE)</f>
        <v>0</v>
      </c>
      <c r="BC40" s="107" t="s">
        <v>857</v>
      </c>
      <c r="BD40" s="89">
        <f>VLOOKUP(BD$1,'Existing Customers'!$A:$AA,26,FALSE)</f>
        <v>0</v>
      </c>
      <c r="BL40" s="107" t="s">
        <v>857</v>
      </c>
      <c r="BM40" s="89">
        <f>VLOOKUP(BM$1,'Existing Customers'!$A:$AA,26,FALSE)</f>
        <v>0</v>
      </c>
      <c r="BU40" s="107" t="s">
        <v>857</v>
      </c>
      <c r="BV40" s="89">
        <f>VLOOKUP(BV$1,'Existing Customers'!$A:$AA,26,FALSE)</f>
        <v>0</v>
      </c>
      <c r="CD40" s="107" t="s">
        <v>857</v>
      </c>
      <c r="CE40" s="89">
        <f>VLOOKUP(CE$1,'Existing Customers'!$A:$AA,26,FALSE)</f>
        <v>0</v>
      </c>
      <c r="CM40" s="107" t="s">
        <v>857</v>
      </c>
      <c r="CN40" s="89">
        <f>VLOOKUP(CN$1,'Existing Customers'!$A:$AA,26,FALSE)</f>
        <v>0</v>
      </c>
      <c r="CV40" s="107" t="s">
        <v>857</v>
      </c>
      <c r="CW40" s="89">
        <f>VLOOKUP(CW$1,'Existing Customers'!$A:$AA,26,FALSE)</f>
        <v>0</v>
      </c>
      <c r="DE40" s="107" t="s">
        <v>857</v>
      </c>
      <c r="DF40" s="89">
        <f>VLOOKUP(DF$1,'Existing Customers'!$A:$AA,26,FALSE)</f>
        <v>0</v>
      </c>
      <c r="DN40" s="107" t="s">
        <v>857</v>
      </c>
      <c r="DO40" s="89">
        <f>VLOOKUP(DO$1,'Existing Customers'!$A:$AA,26,FALSE)</f>
        <v>0</v>
      </c>
      <c r="DW40" s="107" t="s">
        <v>857</v>
      </c>
      <c r="DX40" s="89">
        <f>VLOOKUP(DX$1,'Existing Customers'!$A:$AA,26,FALSE)</f>
        <v>0</v>
      </c>
    </row>
    <row r="41" spans="3:150" x14ac:dyDescent="0.25">
      <c r="L41" s="468">
        <f t="shared" si="33"/>
        <v>1</v>
      </c>
      <c r="M41" s="466" t="s">
        <v>113</v>
      </c>
      <c r="N41" s="469">
        <f>COUNTIF('Variable Costs (Back)'!$C$15:$C$24,M41)</f>
        <v>0</v>
      </c>
      <c r="AT41" s="107" t="s">
        <v>858</v>
      </c>
      <c r="AU41" s="89">
        <f>VLOOKUP(AU$1,'Existing Customers'!$A:$AA,23,FALSE)</f>
        <v>0</v>
      </c>
      <c r="BC41" s="107" t="s">
        <v>858</v>
      </c>
      <c r="BD41" s="89">
        <f>VLOOKUP(BD$1,'Existing Customers'!$A:$AA,23,FALSE)</f>
        <v>0</v>
      </c>
      <c r="BL41" s="107" t="s">
        <v>858</v>
      </c>
      <c r="BM41" s="89">
        <f>VLOOKUP(BM$1,'Existing Customers'!$A:$AA,23,FALSE)</f>
        <v>0</v>
      </c>
      <c r="BU41" s="107" t="s">
        <v>858</v>
      </c>
      <c r="BV41" s="89">
        <f>VLOOKUP(BV$1,'Existing Customers'!$A:$AA,23,FALSE)</f>
        <v>0</v>
      </c>
      <c r="CD41" s="107" t="s">
        <v>858</v>
      </c>
      <c r="CE41" s="89">
        <f>VLOOKUP(CE$1,'Existing Customers'!$A:$AA,23,FALSE)</f>
        <v>0</v>
      </c>
      <c r="CM41" s="107" t="s">
        <v>858</v>
      </c>
      <c r="CN41" s="89">
        <f>VLOOKUP(CN$1,'Existing Customers'!$A:$AA,23,FALSE)</f>
        <v>0</v>
      </c>
      <c r="CV41" s="107" t="s">
        <v>858</v>
      </c>
      <c r="CW41" s="89">
        <f>VLOOKUP(CW$1,'Existing Customers'!$A:$AA,23,FALSE)</f>
        <v>0</v>
      </c>
      <c r="DE41" s="107" t="s">
        <v>858</v>
      </c>
      <c r="DF41" s="89">
        <f>VLOOKUP(DF$1,'Existing Customers'!$A:$AA,23,FALSE)</f>
        <v>0</v>
      </c>
      <c r="DN41" s="107" t="s">
        <v>858</v>
      </c>
      <c r="DO41" s="89">
        <f>VLOOKUP(DO$1,'Existing Customers'!$A:$AA,23,FALSE)</f>
        <v>0</v>
      </c>
      <c r="DW41" s="107" t="s">
        <v>858</v>
      </c>
      <c r="DX41" s="89">
        <f>VLOOKUP(DX$1,'Existing Customers'!$A:$AA,23,FALSE)</f>
        <v>0</v>
      </c>
    </row>
    <row r="42" spans="3:150" x14ac:dyDescent="0.25">
      <c r="L42" s="468">
        <f t="shared" si="33"/>
        <v>1</v>
      </c>
      <c r="M42" s="466" t="s">
        <v>111</v>
      </c>
      <c r="N42" s="469">
        <f>COUNTIF('Variable Costs (Back)'!$C$15:$C$24,M42)</f>
        <v>0</v>
      </c>
      <c r="AT42" s="107" t="s">
        <v>859</v>
      </c>
      <c r="AU42" s="89">
        <f>VLOOKUP(AU$1,'Existing Customers'!$A:$AA,24,FALSE)</f>
        <v>0</v>
      </c>
      <c r="BC42" s="107" t="s">
        <v>859</v>
      </c>
      <c r="BD42" s="89">
        <f>VLOOKUP(BD$1,'Existing Customers'!$A:$AA,24,FALSE)</f>
        <v>0</v>
      </c>
      <c r="BL42" s="107" t="s">
        <v>859</v>
      </c>
      <c r="BM42" s="89">
        <f>VLOOKUP(BM$1,'Existing Customers'!$A:$AA,24,FALSE)</f>
        <v>0</v>
      </c>
      <c r="BU42" s="107" t="s">
        <v>859</v>
      </c>
      <c r="BV42" s="89">
        <f>VLOOKUP(BV$1,'Existing Customers'!$A:$AA,24,FALSE)</f>
        <v>0</v>
      </c>
      <c r="CD42" s="107" t="s">
        <v>859</v>
      </c>
      <c r="CE42" s="89">
        <f>VLOOKUP(CE$1,'Existing Customers'!$A:$AA,24,FALSE)</f>
        <v>0</v>
      </c>
      <c r="CM42" s="107" t="s">
        <v>859</v>
      </c>
      <c r="CN42" s="89">
        <f>VLOOKUP(CN$1,'Existing Customers'!$A:$AA,24,FALSE)</f>
        <v>0</v>
      </c>
      <c r="CV42" s="107" t="s">
        <v>859</v>
      </c>
      <c r="CW42" s="89">
        <f>VLOOKUP(CW$1,'Existing Customers'!$A:$AA,24,FALSE)</f>
        <v>0</v>
      </c>
      <c r="DE42" s="107" t="s">
        <v>859</v>
      </c>
      <c r="DF42" s="89">
        <f>VLOOKUP(DF$1,'Existing Customers'!$A:$AA,24,FALSE)</f>
        <v>0</v>
      </c>
      <c r="DN42" s="107" t="s">
        <v>859</v>
      </c>
      <c r="DO42" s="89">
        <f>VLOOKUP(DO$1,'Existing Customers'!$A:$AA,24,FALSE)</f>
        <v>0</v>
      </c>
      <c r="DW42" s="107" t="s">
        <v>859</v>
      </c>
      <c r="DX42" s="89">
        <f>VLOOKUP(DX$1,'Existing Customers'!$A:$AA,24,FALSE)</f>
        <v>0</v>
      </c>
    </row>
    <row r="43" spans="3:150" x14ac:dyDescent="0.25">
      <c r="L43" s="468">
        <f t="shared" si="33"/>
        <v>1</v>
      </c>
      <c r="M43" s="466" t="s">
        <v>118</v>
      </c>
      <c r="N43" s="469">
        <f>COUNTIF('Variable Costs (Back)'!$C$15:$C$24,M43)</f>
        <v>0</v>
      </c>
      <c r="AT43" s="107" t="s">
        <v>860</v>
      </c>
      <c r="AU43" s="89">
        <f>VLOOKUP(AU$1,'Existing Customers'!$A:$AA,9,FALSE)</f>
        <v>0</v>
      </c>
      <c r="BC43" s="107" t="s">
        <v>860</v>
      </c>
      <c r="BD43" s="89">
        <f>VLOOKUP(BD$1,'Existing Customers'!$A:$AA,9,FALSE)</f>
        <v>0</v>
      </c>
      <c r="BL43" s="107" t="s">
        <v>860</v>
      </c>
      <c r="BM43" s="89">
        <f>VLOOKUP(BM$1,'Existing Customers'!$A:$AA,9,FALSE)</f>
        <v>0</v>
      </c>
      <c r="BU43" s="107" t="s">
        <v>860</v>
      </c>
      <c r="BV43" s="89">
        <f>VLOOKUP(BV$1,'Existing Customers'!$A:$AA,9,FALSE)</f>
        <v>0</v>
      </c>
      <c r="CD43" s="107" t="s">
        <v>860</v>
      </c>
      <c r="CE43" s="89">
        <f>VLOOKUP(CE$1,'Existing Customers'!$A:$AA,9,FALSE)</f>
        <v>0</v>
      </c>
      <c r="CM43" s="107" t="s">
        <v>860</v>
      </c>
      <c r="CN43" s="89">
        <f>VLOOKUP(CN$1,'Existing Customers'!$A:$AA,9,FALSE)</f>
        <v>0</v>
      </c>
      <c r="CV43" s="107" t="s">
        <v>860</v>
      </c>
      <c r="CW43" s="89">
        <f>VLOOKUP(CW$1,'Existing Customers'!$A:$AA,9,FALSE)</f>
        <v>0</v>
      </c>
      <c r="DE43" s="107" t="s">
        <v>860</v>
      </c>
      <c r="DF43" s="89">
        <f>VLOOKUP(DF$1,'Existing Customers'!$A:$AA,9,FALSE)</f>
        <v>0</v>
      </c>
      <c r="DN43" s="107" t="s">
        <v>860</v>
      </c>
      <c r="DO43" s="89">
        <f>VLOOKUP(DO$1,'Existing Customers'!$A:$AA,9,FALSE)</f>
        <v>0</v>
      </c>
      <c r="DW43" s="107" t="s">
        <v>860</v>
      </c>
      <c r="DX43" s="89">
        <f>VLOOKUP(DX$1,'Existing Customers'!$A:$AA,9,FALSE)</f>
        <v>0</v>
      </c>
    </row>
    <row r="44" spans="3:150" x14ac:dyDescent="0.25">
      <c r="L44" s="468">
        <f t="shared" si="33"/>
        <v>1</v>
      </c>
      <c r="M44" s="466" t="s">
        <v>115</v>
      </c>
      <c r="N44" s="469">
        <f>COUNTIF('Variable Costs (Back)'!$C$15:$C$24,M44)</f>
        <v>0</v>
      </c>
      <c r="AT44" s="107" t="s">
        <v>861</v>
      </c>
      <c r="AU44" s="89">
        <f>VLOOKUP(AU$1,'Existing Customers'!$A:$AA,27,FALSE)</f>
        <v>0</v>
      </c>
      <c r="BC44" s="107" t="s">
        <v>861</v>
      </c>
      <c r="BD44" s="89">
        <f>VLOOKUP(BD$1,'Existing Customers'!$A:$AA,27,FALSE)</f>
        <v>0</v>
      </c>
      <c r="BL44" s="107" t="s">
        <v>861</v>
      </c>
      <c r="BM44" s="89">
        <f>VLOOKUP(BM$1,'Existing Customers'!$A:$AA,27,FALSE)</f>
        <v>0</v>
      </c>
      <c r="BU44" s="107" t="s">
        <v>861</v>
      </c>
      <c r="BV44" s="89">
        <f>VLOOKUP(BV$1,'Existing Customers'!$A:$AA,27,FALSE)</f>
        <v>0</v>
      </c>
      <c r="CD44" s="107" t="s">
        <v>861</v>
      </c>
      <c r="CE44" s="89">
        <f>VLOOKUP(CE$1,'Existing Customers'!$A:$AA,27,FALSE)</f>
        <v>0</v>
      </c>
      <c r="CM44" s="107" t="s">
        <v>861</v>
      </c>
      <c r="CN44" s="89">
        <f>VLOOKUP(CN$1,'Existing Customers'!$A:$AA,27,FALSE)</f>
        <v>0</v>
      </c>
      <c r="CV44" s="107" t="s">
        <v>861</v>
      </c>
      <c r="CW44" s="89">
        <f>VLOOKUP(CW$1,'Existing Customers'!$A:$AA,27,FALSE)</f>
        <v>0</v>
      </c>
      <c r="DE44" s="107" t="s">
        <v>861</v>
      </c>
      <c r="DF44" s="89">
        <f>VLOOKUP(DF$1,'Existing Customers'!$A:$AA,27,FALSE)</f>
        <v>0</v>
      </c>
      <c r="DN44" s="107" t="s">
        <v>861</v>
      </c>
      <c r="DO44" s="89">
        <f>VLOOKUP(DO$1,'Existing Customers'!$A:$AA,27,FALSE)</f>
        <v>0</v>
      </c>
      <c r="DW44" s="107" t="s">
        <v>861</v>
      </c>
      <c r="DX44" s="89">
        <f>VLOOKUP(DX$1,'Existing Customers'!$A:$AA,27,FALSE)</f>
        <v>0</v>
      </c>
    </row>
    <row r="45" spans="3:150" x14ac:dyDescent="0.25">
      <c r="L45" s="468">
        <f t="shared" si="33"/>
        <v>1</v>
      </c>
      <c r="M45" s="466" t="s">
        <v>117</v>
      </c>
      <c r="N45" s="469">
        <f>COUNTIF('Variable Costs (Back)'!$C$15:$C$24,M45)</f>
        <v>0</v>
      </c>
      <c r="AT45" s="107" t="s">
        <v>1020</v>
      </c>
      <c r="AU45" s="89">
        <f>VLOOKUP(AU$1,'Existing Customers'!$A:$AA,4,FALSE)</f>
        <v>0</v>
      </c>
      <c r="BC45" s="107" t="s">
        <v>107</v>
      </c>
      <c r="BD45" s="89">
        <f>VLOOKUP(BD$1,'Existing Customers'!$A:$AA,4,FALSE)</f>
        <v>0</v>
      </c>
      <c r="BL45" s="107" t="s">
        <v>107</v>
      </c>
      <c r="BM45" s="89">
        <f>VLOOKUP(BM$1,'Existing Customers'!$A:$AA,4,FALSE)</f>
        <v>0</v>
      </c>
      <c r="BU45" s="107" t="s">
        <v>107</v>
      </c>
      <c r="BV45" s="89">
        <f>VLOOKUP(BV$1,'Existing Customers'!$A:$AA,4,FALSE)</f>
        <v>0</v>
      </c>
      <c r="CD45" s="107" t="s">
        <v>107</v>
      </c>
      <c r="CE45" s="89">
        <f>VLOOKUP(CE$1,'Existing Customers'!$A:$AA,4,FALSE)</f>
        <v>0</v>
      </c>
      <c r="CM45" s="107" t="s">
        <v>107</v>
      </c>
      <c r="CN45" s="89">
        <f>VLOOKUP(CN$1,'Existing Customers'!$A:$AA,4,FALSE)</f>
        <v>0</v>
      </c>
      <c r="CV45" s="107" t="s">
        <v>107</v>
      </c>
      <c r="CW45" s="89">
        <f>VLOOKUP(CW$1,'Existing Customers'!$A:$AA,4,FALSE)</f>
        <v>0</v>
      </c>
      <c r="DE45" s="107" t="s">
        <v>107</v>
      </c>
      <c r="DF45" s="89">
        <f>VLOOKUP(DF$1,'Existing Customers'!$A:$AA,4,FALSE)</f>
        <v>0</v>
      </c>
      <c r="DN45" s="107" t="s">
        <v>107</v>
      </c>
      <c r="DO45" s="89">
        <f>VLOOKUP(DO$1,'Existing Customers'!$A:$AA,4,FALSE)</f>
        <v>0</v>
      </c>
      <c r="DW45" s="107" t="s">
        <v>107</v>
      </c>
      <c r="DX45" s="89">
        <f>VLOOKUP(DX$1,'Existing Customers'!$A:$AA,4,FALSE)</f>
        <v>0</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f>IFERROR(ROUND(VLOOKUP(AU36,'Existing Customer Variable Exp'!$B:$F,5,FALSE)/52,1),"Enter Drops &gt;")</f>
        <v>0</v>
      </c>
      <c r="BC47" s="107" t="s">
        <v>872</v>
      </c>
      <c r="BD47" s="89">
        <f>IFERROR(ROUND(VLOOKUP(BD36,'Existing Customer Variable Exp'!$B:$F,5,FALSE)/52,1),"Enter Drops &gt;")</f>
        <v>0</v>
      </c>
      <c r="BL47" s="107" t="s">
        <v>872</v>
      </c>
      <c r="BM47" s="89">
        <f>IFERROR(ROUND(VLOOKUP(BM36,'Existing Customer Variable Exp'!$B:$F,5,FALSE)/52,1),"Enter Drops &gt;")</f>
        <v>0</v>
      </c>
      <c r="BU47" s="107" t="s">
        <v>872</v>
      </c>
      <c r="BV47" s="89">
        <f>IFERROR(ROUND(VLOOKUP(BV36,'Existing Customer Variable Exp'!$B:$F,5,FALSE)/52,1),"Enter Drops &gt;")</f>
        <v>0</v>
      </c>
      <c r="CD47" s="107" t="s">
        <v>872</v>
      </c>
      <c r="CE47" s="89">
        <f>IFERROR(ROUND(VLOOKUP(CE36,'Existing Customer Variable Exp'!$B:$F,5,FALSE)/52,1),"Enter Drops &gt;")</f>
        <v>0</v>
      </c>
      <c r="CM47" s="107" t="s">
        <v>872</v>
      </c>
      <c r="CN47" s="89">
        <f>IFERROR(ROUND(VLOOKUP(CN36,'Existing Customer Variable Exp'!$B:$F,5,FALSE)/52,1),"Enter Drops &gt;")</f>
        <v>0</v>
      </c>
      <c r="CV47" s="107" t="s">
        <v>872</v>
      </c>
      <c r="CW47" s="89">
        <f>IFERROR(ROUND(VLOOKUP(CW36,'Existing Customer Variable Exp'!$B:$F,5,FALSE)/52,1),"Enter Drops &gt;")</f>
        <v>0</v>
      </c>
      <c r="DE47" s="107" t="s">
        <v>872</v>
      </c>
      <c r="DF47" s="89">
        <f>IFERROR(ROUND(VLOOKUP(DF36,'Existing Customer Variable Exp'!$B:$F,5,FALSE)/52,1),"Enter Drops &gt;")</f>
        <v>0</v>
      </c>
      <c r="DN47" s="107" t="s">
        <v>872</v>
      </c>
      <c r="DO47" s="89">
        <f>IFERROR(ROUND(VLOOKUP(DO36,'Existing Customer Variable Exp'!$B:$F,5,FALSE)/52,1),"Enter Drops &gt;")</f>
        <v>0</v>
      </c>
      <c r="DW47" s="107" t="s">
        <v>872</v>
      </c>
      <c r="DX47" s="89">
        <f>IFERROR(ROUND(VLOOKUP(DX36,'Existing Customer Variable Exp'!$B:$F,5,FALSE)/52,1),"Enter Drops &gt;")</f>
        <v>0</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82" t="s">
        <v>830</v>
      </c>
      <c r="B1" s="1182"/>
      <c r="C1" s="1182"/>
      <c r="D1" s="1182"/>
      <c r="F1" s="1183" t="s">
        <v>759</v>
      </c>
      <c r="G1" s="1183"/>
      <c r="I1" s="1184" t="s">
        <v>829</v>
      </c>
      <c r="J1" s="1185"/>
      <c r="K1" s="1185"/>
      <c r="L1" s="1185"/>
      <c r="M1" s="1185"/>
      <c r="N1" s="1185"/>
      <c r="O1" s="1185"/>
      <c r="P1" s="1185"/>
      <c r="Q1" s="1185"/>
      <c r="R1" s="1185"/>
      <c r="S1" s="1185"/>
      <c r="T1" s="1185"/>
      <c r="U1" s="1185"/>
      <c r="V1" s="1186"/>
    </row>
    <row r="2" spans="1:23" x14ac:dyDescent="0.25">
      <c r="I2" s="362"/>
      <c r="J2" s="141"/>
      <c r="K2" s="141"/>
      <c r="L2" s="141"/>
      <c r="M2" s="141"/>
      <c r="N2" s="141"/>
      <c r="O2" s="141"/>
      <c r="P2" s="141"/>
      <c r="Q2" s="141"/>
      <c r="R2" s="141"/>
      <c r="S2" s="141"/>
      <c r="T2" s="141"/>
      <c r="U2" s="141"/>
      <c r="V2" s="365"/>
    </row>
    <row r="3" spans="1:23" x14ac:dyDescent="0.25">
      <c r="A3" t="s">
        <v>252</v>
      </c>
      <c r="B3" s="1187">
        <f>Welcome!$D$4</f>
        <v>0</v>
      </c>
      <c r="C3" s="1187"/>
      <c r="I3" s="357">
        <v>1</v>
      </c>
      <c r="J3" t="s">
        <v>785</v>
      </c>
      <c r="L3" s="1187" t="str">
        <f>"ALC "&amp;'Required Info to Submit'!$F$6</f>
        <v xml:space="preserve">ALC </v>
      </c>
      <c r="M3" s="1187"/>
      <c r="N3" s="1187"/>
      <c r="O3" s="1187"/>
      <c r="P3" s="1187"/>
      <c r="R3"/>
      <c r="V3" s="144"/>
    </row>
    <row r="4" spans="1:23" ht="45" x14ac:dyDescent="0.25">
      <c r="A4" t="s">
        <v>766</v>
      </c>
      <c r="B4" s="1188">
        <f>'Required Info to Submit'!$F$6</f>
        <v>0</v>
      </c>
      <c r="C4" s="1188"/>
      <c r="D4" s="2" t="s">
        <v>922</v>
      </c>
      <c r="F4" s="272" t="s">
        <v>760</v>
      </c>
      <c r="G4" s="694">
        <f>Incentives!$H$9</f>
        <v>0</v>
      </c>
      <c r="H4" s="314"/>
      <c r="I4" s="357">
        <v>2</v>
      </c>
      <c r="J4" t="s">
        <v>761</v>
      </c>
      <c r="L4" s="366">
        <f>'Required Info to Submit'!$F$14</f>
        <v>44332</v>
      </c>
      <c r="M4" s="366"/>
      <c r="N4" s="366"/>
      <c r="O4" s="367">
        <v>3</v>
      </c>
      <c r="P4" s="1187" t="s">
        <v>763</v>
      </c>
      <c r="Q4" s="1187"/>
      <c r="R4" s="1187"/>
      <c r="S4" s="1190">
        <f>$L$4+(364*$G$5)+6</f>
        <v>44338</v>
      </c>
      <c r="T4" s="1190"/>
      <c r="U4" s="366"/>
      <c r="V4" s="144"/>
    </row>
    <row r="5" spans="1:23" x14ac:dyDescent="0.25">
      <c r="A5" t="s">
        <v>1064</v>
      </c>
      <c r="B5" s="1192">
        <f>'Required Info to Submit'!$F$8</f>
        <v>0</v>
      </c>
      <c r="C5" s="1192"/>
      <c r="D5">
        <f>G5*12</f>
        <v>0</v>
      </c>
      <c r="F5" s="272" t="s">
        <v>762</v>
      </c>
      <c r="G5" s="313">
        <f>Welcome!$D$12</f>
        <v>0</v>
      </c>
      <c r="H5" s="314"/>
      <c r="I5" s="358"/>
      <c r="M5"/>
      <c r="O5" s="2"/>
      <c r="P5" s="304"/>
      <c r="Q5" s="304"/>
      <c r="R5" s="304"/>
      <c r="S5" s="304"/>
      <c r="T5" s="304"/>
      <c r="V5" s="144"/>
    </row>
    <row r="6" spans="1:23" x14ac:dyDescent="0.25">
      <c r="A6" t="s">
        <v>824</v>
      </c>
      <c r="B6" s="1189">
        <f>'Required Info to Submit'!$F$14</f>
        <v>44332</v>
      </c>
      <c r="C6" s="118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191">
        <f>-('Tracking &amp; Profitability'!$E$22)</f>
        <v>0</v>
      </c>
      <c r="T6" s="1191"/>
      <c r="U6" s="20"/>
      <c r="V6" s="144"/>
    </row>
    <row r="7" spans="1:23" x14ac:dyDescent="0.25">
      <c r="A7" t="s">
        <v>825</v>
      </c>
      <c r="B7" s="1187">
        <f>'Required Info to Submit'!$F$10</f>
        <v>0</v>
      </c>
      <c r="C7" s="1187"/>
      <c r="F7" s="901" t="str">
        <f>IF(Incentives!E15="Yes","VB","")</f>
        <v/>
      </c>
      <c r="G7" s="901" t="str">
        <f>IF(Incentives!E26="YES","DS","")</f>
        <v/>
      </c>
      <c r="I7" s="357">
        <v>6</v>
      </c>
      <c r="J7" t="s">
        <v>787</v>
      </c>
      <c r="L7" s="1187">
        <f>'MDA Worksheet'!$K$95</f>
        <v>0</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1" t="str">
        <f>IF(Incentives!E37="Yes","EB","")</f>
        <v/>
      </c>
      <c r="G8" s="901" t="str">
        <f>IF(Incentives!E48="Yes","SG","")</f>
        <v/>
      </c>
      <c r="I8" s="143"/>
      <c r="M8"/>
      <c r="R8"/>
      <c r="V8" s="144"/>
    </row>
    <row r="9" spans="1:23" x14ac:dyDescent="0.25">
      <c r="A9" t="s">
        <v>682</v>
      </c>
      <c r="B9" s="1187">
        <f>'Required Info to Submit'!$F$12</f>
        <v>0</v>
      </c>
      <c r="C9" s="118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78"/>
      <c r="C11" s="1178"/>
      <c r="F11" s="975" t="str">
        <f>IF(Incentives!E72="Yes","Roll","")</f>
        <v/>
      </c>
      <c r="I11" s="1179" t="s">
        <v>767</v>
      </c>
      <c r="J11" s="1180"/>
      <c r="K11" s="1180"/>
      <c r="L11" s="1181"/>
      <c r="M11" s="320"/>
      <c r="N11" s="1179" t="s">
        <v>491</v>
      </c>
      <c r="O11" s="1180"/>
      <c r="P11" s="1180"/>
      <c r="Q11" s="1181"/>
      <c r="R11" s="320"/>
      <c r="S11" s="1179" t="s">
        <v>555</v>
      </c>
      <c r="T11" s="1180"/>
      <c r="U11" s="1180"/>
      <c r="V11" s="1181"/>
    </row>
    <row r="12" spans="1:23" ht="15.75" thickBot="1" x14ac:dyDescent="0.3">
      <c r="A12" s="1214" t="s">
        <v>767</v>
      </c>
      <c r="B12" s="1215"/>
      <c r="C12" s="1215"/>
      <c r="D12" s="1216"/>
      <c r="E12" s="941"/>
      <c r="F12" s="141"/>
      <c r="G12" s="141"/>
      <c r="H12" s="862"/>
      <c r="I12" s="1205" t="s">
        <v>768</v>
      </c>
      <c r="J12" s="1206"/>
      <c r="K12" s="1206"/>
      <c r="L12" s="1207"/>
      <c r="M12" s="320"/>
      <c r="N12" s="1205" t="s">
        <v>769</v>
      </c>
      <c r="O12" s="1206"/>
      <c r="P12" s="1206"/>
      <c r="Q12" s="1207"/>
      <c r="R12" s="320"/>
      <c r="S12" s="1205" t="s">
        <v>770</v>
      </c>
      <c r="T12" s="1206"/>
      <c r="U12" s="1206"/>
      <c r="V12" s="1207"/>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2" t="str">
        <f>Incentives!$I$14</f>
        <v>Select Payment Method</v>
      </c>
      <c r="C14" s="902"/>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2" t="str">
        <f>Incentives!$G$14</f>
        <v>Quarterly</v>
      </c>
      <c r="C15" s="902"/>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2"/>
      <c r="C16" s="902"/>
      <c r="D16" s="333"/>
      <c r="E16" s="330"/>
      <c r="F16" s="272"/>
      <c r="G16" s="272"/>
      <c r="H16" s="314"/>
      <c r="I16" s="360"/>
      <c r="J16" s="88" t="s">
        <v>917</v>
      </c>
      <c r="K16" s="331">
        <f>Incentives!$I$18</f>
        <v>0.01</v>
      </c>
      <c r="L16" s="333"/>
      <c r="M16" s="314"/>
      <c r="N16" s="784" t="s">
        <v>1249</v>
      </c>
      <c r="O16" s="919" t="str">
        <f>B27</f>
        <v>Quarterly</v>
      </c>
      <c r="P16" s="332"/>
      <c r="Q16" s="333"/>
      <c r="R16" s="314"/>
      <c r="S16" s="784" t="s">
        <v>1249</v>
      </c>
      <c r="T16" s="919" t="str">
        <f>B37</f>
        <v>Quarterly</v>
      </c>
      <c r="U16" s="332"/>
      <c r="V16" s="333"/>
      <c r="W16" s="314"/>
    </row>
    <row r="17" spans="1:23" x14ac:dyDescent="0.25">
      <c r="A17" s="143"/>
      <c r="B17" s="817"/>
      <c r="C17" s="817"/>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3">
        <f>Incentives!$I$20</f>
        <v>0.02</v>
      </c>
      <c r="E22" s="347"/>
      <c r="F22" s="292">
        <v>3</v>
      </c>
      <c r="G22" s="348">
        <f>Incentives!$E$20</f>
        <v>0</v>
      </c>
      <c r="H22" s="349"/>
      <c r="I22" s="358" t="s">
        <v>1100</v>
      </c>
      <c r="J22" s="292"/>
      <c r="K22" s="292">
        <f>IF($B$22="","",ROUND($B$22,0))</f>
        <v>0</v>
      </c>
      <c r="L22" s="871">
        <f t="shared" si="0"/>
        <v>0.02</v>
      </c>
      <c r="M22" s="350"/>
      <c r="N22" s="358" t="s">
        <v>1100</v>
      </c>
      <c r="O22" s="292"/>
      <c r="P22" s="376">
        <f>B32</f>
        <v>0</v>
      </c>
      <c r="Q22" s="871">
        <f>D32</f>
        <v>0.02</v>
      </c>
      <c r="R22" s="350"/>
      <c r="S22" s="358" t="s">
        <v>1100</v>
      </c>
      <c r="U22" s="59">
        <f>B42</f>
        <v>0</v>
      </c>
      <c r="V22" s="773">
        <f>D42</f>
        <v>0.02</v>
      </c>
    </row>
    <row r="23" spans="1:23" ht="16.5" thickBot="1" x14ac:dyDescent="0.3">
      <c r="E23" s="936"/>
      <c r="H23" s="862"/>
      <c r="I23" s="1179" t="s">
        <v>1236</v>
      </c>
      <c r="J23" s="1180"/>
      <c r="K23" s="1180"/>
      <c r="L23" s="1181"/>
      <c r="M23" s="861"/>
      <c r="N23" s="1202" t="s">
        <v>1237</v>
      </c>
      <c r="O23" s="1203"/>
      <c r="P23" s="1203"/>
      <c r="Q23" s="1204"/>
      <c r="R23" s="861"/>
      <c r="S23" s="1179" t="s">
        <v>1223</v>
      </c>
      <c r="T23" s="1180"/>
      <c r="U23" s="1180"/>
      <c r="V23" s="1181"/>
    </row>
    <row r="24" spans="1:23" ht="15.75" thickBot="1" x14ac:dyDescent="0.3">
      <c r="A24" s="1214" t="s">
        <v>491</v>
      </c>
      <c r="B24" s="1215"/>
      <c r="C24" s="1215"/>
      <c r="D24" s="1216"/>
      <c r="E24" s="319"/>
      <c r="F24" s="141"/>
      <c r="G24" s="141"/>
      <c r="H24" s="320"/>
      <c r="I24" s="1205" t="s">
        <v>779</v>
      </c>
      <c r="J24" s="1206"/>
      <c r="K24" s="1206"/>
      <c r="L24" s="1207"/>
      <c r="M24" s="861"/>
      <c r="N24" s="1211" t="s">
        <v>779</v>
      </c>
      <c r="O24" s="1212"/>
      <c r="P24" s="1212"/>
      <c r="Q24" s="1213"/>
      <c r="R24" s="861"/>
      <c r="S24" s="1205" t="s">
        <v>780</v>
      </c>
      <c r="T24" s="1206"/>
      <c r="U24" s="1206"/>
      <c r="V24" s="1207"/>
    </row>
    <row r="25" spans="1:23" x14ac:dyDescent="0.25">
      <c r="A25" s="328" t="s">
        <v>761</v>
      </c>
      <c r="B25" s="842">
        <f>$L$4</f>
        <v>44332</v>
      </c>
      <c r="C25" s="902" t="s">
        <v>772</v>
      </c>
      <c r="D25" s="333">
        <f>$S$4</f>
        <v>44338</v>
      </c>
      <c r="I25" s="962" t="s">
        <v>773</v>
      </c>
      <c r="J25" s="322">
        <f>$L$4</f>
        <v>44332</v>
      </c>
      <c r="K25" s="363" t="s">
        <v>774</v>
      </c>
      <c r="L25" s="364">
        <f>$S$4</f>
        <v>44338</v>
      </c>
      <c r="N25" s="143"/>
      <c r="O25" s="817"/>
      <c r="P25" s="817"/>
      <c r="Q25" s="144"/>
      <c r="S25" s="143" t="s">
        <v>773</v>
      </c>
      <c r="T25" s="842">
        <f>$L$4</f>
        <v>44332</v>
      </c>
      <c r="U25" s="844" t="s">
        <v>774</v>
      </c>
      <c r="V25" s="352">
        <f>$S$4</f>
        <v>44338</v>
      </c>
    </row>
    <row r="26" spans="1:23" ht="30" x14ac:dyDescent="0.25">
      <c r="A26" s="328" t="s">
        <v>906</v>
      </c>
      <c r="B26" s="842" t="str">
        <f>Incentives!$I$25</f>
        <v>Select Payment Method</v>
      </c>
      <c r="C26" s="902"/>
      <c r="D26" s="333"/>
      <c r="I26" s="956"/>
      <c r="J26" s="844" t="str">
        <f>IF(Incentives!$I$63="Check","Check","Credit Memo")</f>
        <v>Credit Memo</v>
      </c>
      <c r="K26" s="817">
        <f>Incentives!$K$63</f>
        <v>0</v>
      </c>
      <c r="L26" s="352"/>
      <c r="N26" s="143"/>
      <c r="O26" s="848" t="s">
        <v>1215</v>
      </c>
      <c r="P26" s="848"/>
      <c r="Q26" s="849">
        <f>D62</f>
        <v>0</v>
      </c>
      <c r="S26" s="328" t="s">
        <v>925</v>
      </c>
      <c r="T26" s="842" t="str">
        <f>Incentives!$I$80</f>
        <v>Select Payment Method</v>
      </c>
      <c r="U26" s="843" t="str">
        <f>IF($T$26="Check","Check","Credit Memo")</f>
        <v>Credit Memo</v>
      </c>
      <c r="V26" s="695">
        <f>Incentives!$K$80</f>
        <v>0</v>
      </c>
    </row>
    <row r="27" spans="1:23" x14ac:dyDescent="0.25">
      <c r="A27" s="143" t="s">
        <v>1249</v>
      </c>
      <c r="B27" s="817" t="str">
        <f>Incentives!$G$25</f>
        <v>Quarterly</v>
      </c>
      <c r="C27" s="817"/>
      <c r="D27" s="144"/>
      <c r="I27" s="143"/>
      <c r="J27" s="817"/>
      <c r="K27" s="817"/>
      <c r="L27" s="144"/>
      <c r="N27" s="850" t="s">
        <v>1214</v>
      </c>
      <c r="O27" s="848" t="s">
        <v>773</v>
      </c>
      <c r="P27" s="848" t="s">
        <v>774</v>
      </c>
      <c r="Q27" s="851"/>
      <c r="S27" s="143"/>
      <c r="T27" s="817" t="s">
        <v>903</v>
      </c>
      <c r="U27" s="817"/>
      <c r="V27" s="144"/>
    </row>
    <row r="28" spans="1:23" ht="30" x14ac:dyDescent="0.25">
      <c r="A28" s="143"/>
      <c r="B28" s="336" t="s">
        <v>127</v>
      </c>
      <c r="C28" s="336" t="s">
        <v>129</v>
      </c>
      <c r="D28" s="769" t="s">
        <v>777</v>
      </c>
      <c r="E28" s="353"/>
      <c r="I28" s="143"/>
      <c r="J28" s="817"/>
      <c r="K28" s="817"/>
      <c r="L28" s="144"/>
      <c r="N28" s="852" t="s">
        <v>1218</v>
      </c>
      <c r="O28" s="853">
        <f>L4</f>
        <v>44332</v>
      </c>
      <c r="P28" s="853">
        <f>O28+363</f>
        <v>44695</v>
      </c>
      <c r="Q28" s="854" t="e">
        <f>$C$62/$B$62</f>
        <v>#VALUE!</v>
      </c>
      <c r="S28" s="143"/>
      <c r="T28" s="817"/>
      <c r="U28" s="817"/>
      <c r="V28" s="144"/>
    </row>
    <row r="29" spans="1:23" ht="30" x14ac:dyDescent="0.25">
      <c r="A29" s="143"/>
      <c r="B29" s="373">
        <v>0</v>
      </c>
      <c r="C29" s="377">
        <f>ROUND(IF(ISERROR(B30-0.01),"",B30-0.01),2)</f>
        <v>-0.01</v>
      </c>
      <c r="D29" s="772">
        <f>Incentives!$I$28</f>
        <v>0</v>
      </c>
      <c r="I29" s="357">
        <v>1</v>
      </c>
      <c r="J29" s="845" t="s">
        <v>782</v>
      </c>
      <c r="K29" s="846">
        <f>IF(B60="YES - Purchase Commitment",Incentives!$M$66,Incentives!$K$66)</f>
        <v>0</v>
      </c>
      <c r="L29" s="144"/>
      <c r="N29" s="852" t="s">
        <v>1219</v>
      </c>
      <c r="O29" s="853">
        <f>P28+1</f>
        <v>44696</v>
      </c>
      <c r="P29" s="853">
        <f>O29+370</f>
        <v>45066</v>
      </c>
      <c r="Q29" s="854" t="e">
        <f>$C$62/$B$62</f>
        <v>#VALUE!</v>
      </c>
      <c r="S29" s="357">
        <v>2</v>
      </c>
      <c r="T29" s="845" t="s">
        <v>782</v>
      </c>
      <c r="U29" s="846">
        <f>Incentives!$K$83</f>
        <v>3</v>
      </c>
      <c r="V29" s="144"/>
    </row>
    <row r="30" spans="1:23" x14ac:dyDescent="0.25">
      <c r="A30" s="143"/>
      <c r="B30" s="371">
        <f>ROUND(Incentives!$G$29,0)</f>
        <v>0</v>
      </c>
      <c r="C30" s="377">
        <f t="shared" ref="C30:C31" si="1">ROUND(IF(ISERROR(B31-0.01),"",B31-0.01),2)</f>
        <v>-0.01</v>
      </c>
      <c r="D30" s="772">
        <f>Incentives!$I$29</f>
        <v>0.01</v>
      </c>
      <c r="I30" s="963" t="str">
        <f>IF($B$60="YES - Purchase Commitment",3,"")</f>
        <v/>
      </c>
      <c r="J30" s="845" t="str">
        <f>IF($B$60="YES - Purchase Commitment","Min Sales Required","")</f>
        <v/>
      </c>
      <c r="K30" s="847">
        <f>$G$4</f>
        <v>0</v>
      </c>
      <c r="L30" s="144" t="s">
        <v>907</v>
      </c>
      <c r="N30" s="852" t="s">
        <v>1220</v>
      </c>
      <c r="O30" s="853">
        <f>P29+1</f>
        <v>45067</v>
      </c>
      <c r="P30" s="853">
        <f>O30+363</f>
        <v>45430</v>
      </c>
      <c r="Q30" s="854" t="e">
        <f>$C$62/$B$62</f>
        <v>#VALUE!</v>
      </c>
      <c r="S30" s="143"/>
      <c r="T30" s="817"/>
      <c r="U30" s="817"/>
      <c r="V30" s="144"/>
    </row>
    <row r="31" spans="1:23" x14ac:dyDescent="0.25">
      <c r="A31" s="143"/>
      <c r="B31" s="371">
        <f>ROUND(Incentives!$G$30,0)</f>
        <v>0</v>
      </c>
      <c r="C31" s="377">
        <f t="shared" si="1"/>
        <v>-0.01</v>
      </c>
      <c r="D31" s="772">
        <f>Incentives!$I$30</f>
        <v>1.4999999999999999E-2</v>
      </c>
      <c r="I31" s="963">
        <f>IF($B$60="YES - Purchase Commitment"," ",3)</f>
        <v>3</v>
      </c>
      <c r="J31" s="845" t="str">
        <f>IF($B$60="YES - Purchase Commitment"," ","Min Sales Required")</f>
        <v>Min Sales Required</v>
      </c>
      <c r="K31" s="847">
        <f>IF($B$60="YES - Purchase Commitment","",$G$4*$G$5)</f>
        <v>0</v>
      </c>
      <c r="L31" s="695" t="s">
        <v>788</v>
      </c>
      <c r="N31" s="852" t="s">
        <v>1221</v>
      </c>
      <c r="O31" s="853">
        <f>P30+1</f>
        <v>45431</v>
      </c>
      <c r="P31" s="853">
        <f>O31+363</f>
        <v>45794</v>
      </c>
      <c r="Q31" s="854" t="e">
        <f>$C$62/$B$62</f>
        <v>#VALUE!</v>
      </c>
      <c r="S31" s="143"/>
      <c r="T31" s="817"/>
      <c r="U31" s="817"/>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5" t="s">
        <v>1222</v>
      </c>
      <c r="O32" s="856">
        <f>P31+1</f>
        <v>45795</v>
      </c>
      <c r="P32" s="856">
        <f>O32+363</f>
        <v>46158</v>
      </c>
      <c r="Q32" s="857" t="e">
        <f>$C$62/$B$62</f>
        <v>#VALUE!</v>
      </c>
      <c r="S32" s="291"/>
      <c r="T32" s="292"/>
      <c r="U32" s="292"/>
      <c r="V32" s="293"/>
    </row>
    <row r="33" spans="1:22" ht="16.5" thickBot="1" x14ac:dyDescent="0.3">
      <c r="E33" s="936"/>
      <c r="H33" s="862"/>
      <c r="I33" s="1208" t="s">
        <v>781</v>
      </c>
      <c r="J33" s="1209"/>
      <c r="K33" s="1209"/>
      <c r="L33" s="1210"/>
      <c r="M33" s="862"/>
      <c r="N33" s="1196" t="s">
        <v>1109</v>
      </c>
      <c r="O33" s="1197"/>
      <c r="P33" s="1197"/>
      <c r="Q33" s="1198"/>
      <c r="R33" s="862"/>
      <c r="S33" s="1196" t="s">
        <v>1250</v>
      </c>
      <c r="T33" s="1197"/>
      <c r="U33" s="1197"/>
      <c r="V33" s="1198"/>
    </row>
    <row r="34" spans="1:22" ht="15.75" thickBot="1" x14ac:dyDescent="0.3">
      <c r="A34" s="1214" t="s">
        <v>555</v>
      </c>
      <c r="B34" s="1215"/>
      <c r="C34" s="1215"/>
      <c r="D34" s="1216"/>
      <c r="E34" s="319"/>
      <c r="F34" s="141"/>
      <c r="G34" s="141"/>
      <c r="H34" s="320"/>
      <c r="I34" s="1193" t="s">
        <v>784</v>
      </c>
      <c r="J34" s="1194"/>
      <c r="K34" s="1194"/>
      <c r="L34" s="1195"/>
      <c r="M34" s="862"/>
      <c r="N34" s="1199" t="s">
        <v>783</v>
      </c>
      <c r="O34" s="1200"/>
      <c r="P34" s="1200"/>
      <c r="Q34" s="1201"/>
      <c r="R34" s="862"/>
      <c r="S34" s="1205" t="s">
        <v>1258</v>
      </c>
      <c r="T34" s="1206"/>
      <c r="U34" s="1206"/>
      <c r="V34" s="1207"/>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2" t="str">
        <f>Incentives!$I$55</f>
        <v>Select Payment Method</v>
      </c>
      <c r="K36" s="843" t="str">
        <f>IF(J36="Check","Check","Credit Memo")</f>
        <v>Credit Memo</v>
      </c>
      <c r="L36" s="695">
        <f>Incentives!$K$55</f>
        <v>0</v>
      </c>
      <c r="N36" s="328" t="s">
        <v>925</v>
      </c>
      <c r="O36" s="272" t="str">
        <f>$B$82</f>
        <v>Select Payment Method</v>
      </c>
      <c r="Q36" s="144"/>
      <c r="S36" s="891" t="s">
        <v>1252</v>
      </c>
      <c r="T36" s="892" t="str">
        <f>$B$46</f>
        <v>Select Payment Method</v>
      </c>
      <c r="U36" s="883"/>
      <c r="V36" s="884"/>
    </row>
    <row r="37" spans="1:22" x14ac:dyDescent="0.25">
      <c r="A37" s="882" t="s">
        <v>1249</v>
      </c>
      <c r="B37" s="931" t="str">
        <f>Incentives!$G$36</f>
        <v>Quarterly</v>
      </c>
      <c r="D37" s="144"/>
      <c r="I37" s="784" t="s">
        <v>1249</v>
      </c>
      <c r="J37" s="919" t="str">
        <f>B54</f>
        <v>Quarterly</v>
      </c>
      <c r="K37" s="817"/>
      <c r="L37" s="144"/>
      <c r="N37" s="143"/>
      <c r="Q37" s="144"/>
      <c r="S37" s="882" t="s">
        <v>1253</v>
      </c>
      <c r="T37" s="883" t="str">
        <f>$B$47</f>
        <v>Quarterly</v>
      </c>
      <c r="U37" s="883"/>
      <c r="V37" s="884"/>
    </row>
    <row r="38" spans="1:22" ht="30" x14ac:dyDescent="0.25">
      <c r="A38" s="143"/>
      <c r="B38" s="336" t="s">
        <v>127</v>
      </c>
      <c r="C38" s="336" t="s">
        <v>129</v>
      </c>
      <c r="D38" s="769" t="s">
        <v>543</v>
      </c>
      <c r="I38" s="784">
        <v>3</v>
      </c>
      <c r="J38" s="845" t="s">
        <v>1257</v>
      </c>
      <c r="K38" s="873">
        <f>D55</f>
        <v>0</v>
      </c>
      <c r="L38" s="144"/>
      <c r="N38" s="143"/>
      <c r="O38" t="s">
        <v>782</v>
      </c>
      <c r="P38" s="22">
        <f>D84</f>
        <v>0</v>
      </c>
      <c r="Q38" s="144"/>
      <c r="S38" s="882"/>
      <c r="T38" s="883"/>
      <c r="U38" s="883" t="s">
        <v>1246</v>
      </c>
      <c r="V38" s="894">
        <f>$C$48</f>
        <v>0</v>
      </c>
    </row>
    <row r="39" spans="1:22" x14ac:dyDescent="0.25">
      <c r="A39" s="143"/>
      <c r="B39" s="767">
        <v>0</v>
      </c>
      <c r="C39" s="768">
        <f>IF(ISERROR(B40-0.01),"",(B40-0.0001))</f>
        <v>-1E-4</v>
      </c>
      <c r="D39" s="770">
        <v>0</v>
      </c>
      <c r="I39" s="784">
        <v>4</v>
      </c>
      <c r="J39" s="845" t="s">
        <v>1256</v>
      </c>
      <c r="K39" s="873">
        <f>$C$55</f>
        <v>0</v>
      </c>
      <c r="L39" s="144"/>
      <c r="N39" s="143"/>
      <c r="Q39" s="144"/>
      <c r="S39" s="882"/>
      <c r="T39" s="883"/>
      <c r="U39" s="883" t="s">
        <v>1248</v>
      </c>
      <c r="V39" s="893">
        <f>D48</f>
        <v>0</v>
      </c>
    </row>
    <row r="40" spans="1:22" ht="15.75" thickBot="1" x14ac:dyDescent="0.3">
      <c r="A40" s="143"/>
      <c r="B40" s="340">
        <f>Incentives!$G$40</f>
        <v>0</v>
      </c>
      <c r="C40" s="768" t="str">
        <f>IF(OR(ISERROR(B41-0.01),B41=0),"",(B41-0.0001))</f>
        <v/>
      </c>
      <c r="D40" s="772">
        <f>Incentives!$I$40</f>
        <v>0.01</v>
      </c>
      <c r="F40" s="927"/>
      <c r="G40" s="927"/>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7"/>
      <c r="G41" s="927"/>
      <c r="H41" s="932"/>
      <c r="I41" s="817"/>
      <c r="N41" s="1179" t="s">
        <v>1300</v>
      </c>
      <c r="O41" s="1180"/>
      <c r="P41" s="1180"/>
      <c r="Q41" s="1181"/>
      <c r="S41" s="1179" t="s">
        <v>1301</v>
      </c>
      <c r="T41" s="1180"/>
      <c r="U41" s="1180"/>
      <c r="V41" s="1181"/>
    </row>
    <row r="42" spans="1:22" ht="15.75" thickBot="1" x14ac:dyDescent="0.3">
      <c r="A42" s="291"/>
      <c r="B42" s="346">
        <f>Incentives!$G$42</f>
        <v>0</v>
      </c>
      <c r="C42" s="356">
        <v>1</v>
      </c>
      <c r="D42" s="771">
        <f>Incentives!$I$42</f>
        <v>0.02</v>
      </c>
      <c r="E42" s="354"/>
      <c r="F42" s="817"/>
      <c r="G42" s="817"/>
      <c r="H42" s="933"/>
      <c r="I42" s="817"/>
      <c r="N42" s="1205" t="s">
        <v>1302</v>
      </c>
      <c r="O42" s="1206"/>
      <c r="P42" s="1206"/>
      <c r="Q42" s="1207"/>
      <c r="R42" s="984"/>
      <c r="S42" s="1205" t="s">
        <v>1302</v>
      </c>
      <c r="T42" s="1206"/>
      <c r="U42" s="1206"/>
      <c r="V42" s="1207"/>
    </row>
    <row r="43" spans="1:22" ht="15.75" thickBot="1" x14ac:dyDescent="0.3">
      <c r="E43" s="936"/>
      <c r="F43" s="937"/>
      <c r="G43" s="939"/>
      <c r="H43" s="862"/>
      <c r="I43" s="858"/>
      <c r="J43" s="370" t="s">
        <v>765</v>
      </c>
      <c r="K43" s="859" t="s">
        <v>766</v>
      </c>
      <c r="L43" s="860"/>
      <c r="N43" s="962" t="s">
        <v>773</v>
      </c>
      <c r="O43" s="322">
        <f>$L$4</f>
        <v>44332</v>
      </c>
      <c r="P43" s="363" t="s">
        <v>774</v>
      </c>
      <c r="Q43" s="364">
        <f>$S$4</f>
        <v>44338</v>
      </c>
      <c r="S43" s="962" t="s">
        <v>773</v>
      </c>
      <c r="T43" s="322">
        <f>$L$4</f>
        <v>44332</v>
      </c>
      <c r="U43" s="363" t="s">
        <v>774</v>
      </c>
      <c r="V43" s="364">
        <f>$S$4</f>
        <v>44338</v>
      </c>
    </row>
    <row r="44" spans="1:22" x14ac:dyDescent="0.25">
      <c r="A44" s="1214" t="s">
        <v>1250</v>
      </c>
      <c r="B44" s="1215"/>
      <c r="C44" s="1215"/>
      <c r="D44" s="1216"/>
      <c r="E44" s="319"/>
      <c r="F44" s="817"/>
      <c r="G44" s="817"/>
      <c r="I44" s="934">
        <v>1</v>
      </c>
      <c r="J44" s="297">
        <f>IFERROR('MDA Worksheet'!D95,"")</f>
        <v>0</v>
      </c>
      <c r="K44" s="757">
        <f>IFERROR('MDA Worksheet'!$K$95,"")</f>
        <v>0</v>
      </c>
      <c r="N44" s="143"/>
      <c r="O44" s="817"/>
      <c r="P44" s="817"/>
      <c r="Q44" s="144"/>
      <c r="S44" s="143"/>
      <c r="T44" s="817"/>
      <c r="U44" s="817"/>
      <c r="V44" s="144"/>
    </row>
    <row r="45" spans="1:22" x14ac:dyDescent="0.25">
      <c r="A45" s="143" t="s">
        <v>771</v>
      </c>
      <c r="B45" s="842">
        <f>$L$4</f>
        <v>44332</v>
      </c>
      <c r="C45" s="817"/>
      <c r="D45" s="333">
        <f>$S$4</f>
        <v>44338</v>
      </c>
      <c r="I45" s="935">
        <v>2</v>
      </c>
      <c r="J45" s="298">
        <f>IFERROR('MDA Worksheet'!D96,"")</f>
        <v>0</v>
      </c>
      <c r="K45" s="1">
        <f>IFERROR('MDA Worksheet'!K96,"")</f>
        <v>0</v>
      </c>
      <c r="N45" s="143"/>
      <c r="O45" s="817" t="str">
        <f>B68</f>
        <v>Select Payment Method</v>
      </c>
      <c r="P45" s="817"/>
      <c r="Q45" s="144"/>
      <c r="S45" s="143"/>
      <c r="T45" s="817"/>
      <c r="U45" s="817"/>
      <c r="V45" s="144"/>
    </row>
    <row r="46" spans="1:22" x14ac:dyDescent="0.25">
      <c r="A46" s="905" t="s">
        <v>906</v>
      </c>
      <c r="B46" s="817" t="str">
        <f>Incentives!$I$47</f>
        <v>Select Payment Method</v>
      </c>
      <c r="C46" s="817"/>
      <c r="D46" s="144"/>
      <c r="I46" s="935">
        <v>3</v>
      </c>
      <c r="J46" s="298">
        <f>IFERROR('MDA Worksheet'!D97,"")</f>
        <v>0</v>
      </c>
      <c r="K46" s="1">
        <f>IFERROR('MDA Worksheet'!K97,"")</f>
        <v>0</v>
      </c>
      <c r="N46" s="143"/>
      <c r="O46" s="817"/>
      <c r="P46" s="817"/>
      <c r="Q46" s="144"/>
      <c r="S46" s="143"/>
      <c r="T46" s="817"/>
      <c r="U46" s="817"/>
      <c r="V46" s="144"/>
    </row>
    <row r="47" spans="1:22" ht="30" x14ac:dyDescent="0.25">
      <c r="A47" s="905" t="s">
        <v>1249</v>
      </c>
      <c r="B47" s="817" t="str">
        <f>Incentives!$G$47</f>
        <v>Quarterly</v>
      </c>
      <c r="C47" s="906" t="s">
        <v>1246</v>
      </c>
      <c r="D47" s="907" t="s">
        <v>1248</v>
      </c>
      <c r="F47" s="927"/>
      <c r="G47" s="927"/>
      <c r="H47" s="933"/>
      <c r="I47" s="935">
        <v>4</v>
      </c>
      <c r="J47" s="298">
        <f>IFERROR('MDA Worksheet'!D98,"")</f>
        <v>0</v>
      </c>
      <c r="K47" s="1">
        <f>IFERROR('MDA Worksheet'!K98,"")</f>
        <v>0</v>
      </c>
      <c r="N47" s="357">
        <v>1</v>
      </c>
      <c r="O47" s="845" t="s">
        <v>782</v>
      </c>
      <c r="P47" s="986">
        <f>B69</f>
        <v>0</v>
      </c>
      <c r="Q47" s="144"/>
      <c r="S47" s="357">
        <v>1</v>
      </c>
      <c r="T47" s="845" t="s">
        <v>782</v>
      </c>
      <c r="U47" s="987">
        <f>-D71</f>
        <v>0</v>
      </c>
      <c r="V47" s="144"/>
    </row>
    <row r="48" spans="1:22" x14ac:dyDescent="0.25">
      <c r="A48" s="143"/>
      <c r="B48" s="817"/>
      <c r="C48" s="847">
        <f>Incentives!$G$50</f>
        <v>0</v>
      </c>
      <c r="D48" s="774">
        <f>Incentives!$I$50</f>
        <v>0</v>
      </c>
      <c r="H48" s="933"/>
      <c r="I48" s="935">
        <v>5</v>
      </c>
      <c r="J48" s="298">
        <f>IFERROR('MDA Worksheet'!D99,"")</f>
        <v>0</v>
      </c>
      <c r="K48" s="1">
        <f>IFERROR('MDA Worksheet'!K99,"")</f>
        <v>0</v>
      </c>
      <c r="N48" s="963" t="str">
        <f>IF($B$60="YES - Purchase Commitment",3,"")</f>
        <v/>
      </c>
      <c r="O48" s="845" t="str">
        <f>IF($B$60="YES - Purchase Commitment","Min Sales Required","")</f>
        <v/>
      </c>
      <c r="P48" s="847">
        <f>$G$4</f>
        <v>0</v>
      </c>
      <c r="Q48" s="144" t="s">
        <v>907</v>
      </c>
      <c r="S48" s="963" t="str">
        <f>IF($B$60="YES - Purchase Commitment",3,"")</f>
        <v/>
      </c>
      <c r="T48" s="845" t="str">
        <f>IF($B$60="YES - Purchase Commitment","Min Sales Required","")</f>
        <v/>
      </c>
      <c r="U48" s="847">
        <f>$G$4</f>
        <v>0</v>
      </c>
      <c r="V48" s="144" t="s">
        <v>907</v>
      </c>
    </row>
    <row r="49" spans="1:23" ht="30.75" thickBot="1" x14ac:dyDescent="0.3">
      <c r="A49" s="291"/>
      <c r="B49" s="292"/>
      <c r="C49" s="292"/>
      <c r="D49" s="293"/>
      <c r="E49" s="354"/>
      <c r="F49" s="817"/>
      <c r="G49" s="817"/>
      <c r="H49" s="933"/>
      <c r="I49" s="935">
        <v>6</v>
      </c>
      <c r="J49" s="298">
        <f>IFERROR('MDA Worksheet'!D100,"")</f>
        <v>0</v>
      </c>
      <c r="K49" s="1">
        <f>IFERROR('MDA Worksheet'!K100,"")</f>
        <v>0</v>
      </c>
      <c r="N49" s="985">
        <f>IF($B$60="YES - Purchase Commitment"," ",3)</f>
        <v>3</v>
      </c>
      <c r="O49" s="845" t="str">
        <f>IF($B$60="YES - Purchase Commitment"," ","Min Sales Required")</f>
        <v>Min Sales Required</v>
      </c>
      <c r="P49" s="847">
        <f>$D$72</f>
        <v>0</v>
      </c>
      <c r="Q49" s="695" t="s">
        <v>788</v>
      </c>
      <c r="S49" s="985">
        <f>IF($B$60="YES - Purchase Commitment"," ",3)</f>
        <v>3</v>
      </c>
      <c r="T49" s="845" t="str">
        <f>IF($B$60="YES - Purchase Commitment"," ","Min Sales Required")</f>
        <v>Min Sales Required</v>
      </c>
      <c r="U49" s="847">
        <f>$D$72</f>
        <v>0</v>
      </c>
      <c r="V49" s="695" t="s">
        <v>788</v>
      </c>
    </row>
    <row r="50" spans="1:23" ht="15.75" thickBot="1" x14ac:dyDescent="0.3">
      <c r="A50" s="900"/>
      <c r="B50" s="900"/>
      <c r="C50" s="900"/>
      <c r="D50" s="900"/>
      <c r="E50" s="936"/>
      <c r="F50" s="937"/>
      <c r="G50" s="939"/>
      <c r="H50" s="862"/>
      <c r="I50" s="935">
        <v>7</v>
      </c>
      <c r="J50" s="298">
        <f>IFERROR('MDA Worksheet'!D101,"")</f>
        <v>0</v>
      </c>
      <c r="K50" s="1">
        <f>IFERROR('MDA Worksheet'!K101,"")</f>
        <v>0</v>
      </c>
      <c r="N50" s="143"/>
      <c r="O50" s="817"/>
      <c r="P50" s="817"/>
      <c r="Q50" s="144"/>
      <c r="S50" s="143"/>
      <c r="T50" s="817"/>
      <c r="U50" s="817"/>
      <c r="V50" s="144"/>
    </row>
    <row r="51" spans="1:23" x14ac:dyDescent="0.25">
      <c r="A51" s="1214" t="s">
        <v>781</v>
      </c>
      <c r="B51" s="1215"/>
      <c r="C51" s="1215"/>
      <c r="D51" s="1216"/>
      <c r="E51" s="319"/>
      <c r="F51" s="817"/>
      <c r="G51" s="817"/>
      <c r="I51" s="935">
        <v>8</v>
      </c>
      <c r="J51" s="298">
        <f>IFERROR('MDA Worksheet'!D102,"")</f>
        <v>0</v>
      </c>
      <c r="K51" s="1">
        <f>IFERROR('MDA Worksheet'!K102,"")</f>
        <v>0</v>
      </c>
      <c r="N51" s="143" t="s">
        <v>1304</v>
      </c>
      <c r="O51" s="1221" t="str">
        <f>"Amount to be paid to the customer $ "&amp;TEXT(D69,"#,###,###.00")</f>
        <v>Amount to be paid to the customer $ .00</v>
      </c>
      <c r="P51" s="1221"/>
      <c r="Q51" s="1222"/>
      <c r="S51" s="143" t="s">
        <v>1304</v>
      </c>
      <c r="T51" s="1217" t="s">
        <v>1324</v>
      </c>
      <c r="U51" s="1217"/>
      <c r="V51" s="1218"/>
    </row>
    <row r="52" spans="1:23" x14ac:dyDescent="0.25">
      <c r="A52" s="328" t="s">
        <v>761</v>
      </c>
      <c r="B52" s="842">
        <f>$L$4</f>
        <v>44332</v>
      </c>
      <c r="C52" s="902" t="s">
        <v>772</v>
      </c>
      <c r="D52" s="333">
        <f>$S$4</f>
        <v>44338</v>
      </c>
      <c r="E52" s="904"/>
      <c r="I52" s="935">
        <v>9</v>
      </c>
      <c r="J52" s="298">
        <f>IFERROR('MDA Worksheet'!D103,"")</f>
        <v>0</v>
      </c>
      <c r="K52" s="1">
        <f>IFERROR('MDA Worksheet'!K103,"")</f>
        <v>0</v>
      </c>
      <c r="N52" s="143"/>
      <c r="O52" s="1221" t="str">
        <f>"Claw Back Amount $ "&amp;TEXT(D71,"#,###,###.00")</f>
        <v>Claw Back Amount $ .00</v>
      </c>
      <c r="P52" s="1221"/>
      <c r="Q52" s="1222"/>
      <c r="S52" s="143"/>
      <c r="T52" s="1217"/>
      <c r="U52" s="1217"/>
      <c r="V52" s="1218"/>
    </row>
    <row r="53" spans="1:23" ht="15.75" thickBot="1" x14ac:dyDescent="0.3">
      <c r="A53" s="143" t="s">
        <v>906</v>
      </c>
      <c r="B53" s="817" t="str">
        <f>Incentives!$I$55</f>
        <v>Select Payment Method</v>
      </c>
      <c r="C53" s="817"/>
      <c r="D53" s="144"/>
      <c r="H53" s="933"/>
      <c r="I53" s="541">
        <v>10</v>
      </c>
      <c r="J53" s="300">
        <f>IFERROR('MDA Worksheet'!D104,"")</f>
        <v>0</v>
      </c>
      <c r="K53" s="36">
        <f>IFERROR('MDA Worksheet'!K104,"")</f>
        <v>0</v>
      </c>
      <c r="L53" s="292"/>
      <c r="M53" s="350"/>
      <c r="N53" s="291"/>
      <c r="O53" s="988"/>
      <c r="P53" s="988"/>
      <c r="Q53" s="989"/>
      <c r="R53" s="350"/>
      <c r="S53" s="291"/>
      <c r="T53" s="1219"/>
      <c r="U53" s="1219"/>
      <c r="V53" s="1220"/>
    </row>
    <row r="54" spans="1:23" x14ac:dyDescent="0.25">
      <c r="A54" s="143" t="s">
        <v>1249</v>
      </c>
      <c r="B54" s="919" t="str">
        <f>Incentives!$G$55</f>
        <v>Quarterly</v>
      </c>
      <c r="C54" s="336" t="s">
        <v>543</v>
      </c>
      <c r="D54" s="903" t="s">
        <v>236</v>
      </c>
      <c r="H54" s="933"/>
    </row>
    <row r="55" spans="1:23" ht="15.75" thickBot="1" x14ac:dyDescent="0.3">
      <c r="A55" s="291"/>
      <c r="B55" s="292"/>
      <c r="C55" s="875">
        <f>Incentives!$K$58</f>
        <v>0</v>
      </c>
      <c r="D55" s="771">
        <f>Incentives!$G$58</f>
        <v>0</v>
      </c>
      <c r="F55" s="817"/>
      <c r="G55" s="817"/>
      <c r="H55" s="933"/>
    </row>
    <row r="56" spans="1:23" ht="15.75" thickBot="1" x14ac:dyDescent="0.3">
      <c r="E56" s="936"/>
      <c r="F56" s="937"/>
      <c r="G56" s="939"/>
      <c r="H56" s="862"/>
    </row>
    <row r="57" spans="1:23" x14ac:dyDescent="0.25">
      <c r="A57" s="1214" t="s">
        <v>1236</v>
      </c>
      <c r="B57" s="1215"/>
      <c r="C57" s="1215"/>
      <c r="D57" s="1216"/>
      <c r="F57" s="817"/>
      <c r="G57" s="817"/>
    </row>
    <row r="58" spans="1:23" x14ac:dyDescent="0.25">
      <c r="A58" s="328" t="s">
        <v>761</v>
      </c>
      <c r="B58" s="842">
        <f>$L$4</f>
        <v>44332</v>
      </c>
      <c r="C58" s="902" t="s">
        <v>772</v>
      </c>
      <c r="D58" s="333">
        <f>$S$4</f>
        <v>44338</v>
      </c>
      <c r="E58" s="904"/>
    </row>
    <row r="59" spans="1:23" x14ac:dyDescent="0.25">
      <c r="A59" s="143" t="s">
        <v>906</v>
      </c>
      <c r="B59" s="817" t="str">
        <f>Incentives!$I$63</f>
        <v>Select Payment Method</v>
      </c>
      <c r="C59" s="817"/>
      <c r="D59" s="144"/>
      <c r="H59" s="933"/>
    </row>
    <row r="60" spans="1:23" x14ac:dyDescent="0.25">
      <c r="A60" s="143" t="s">
        <v>1194</v>
      </c>
      <c r="B60" s="817" t="str">
        <f>Incentives!G63</f>
        <v>NO</v>
      </c>
      <c r="C60" s="817"/>
      <c r="D60" s="144"/>
    </row>
    <row r="61" spans="1:23" x14ac:dyDescent="0.25">
      <c r="A61" s="143"/>
      <c r="B61" s="976" t="s">
        <v>1298</v>
      </c>
      <c r="C61" s="976" t="s">
        <v>782</v>
      </c>
      <c r="D61" s="903" t="s">
        <v>828</v>
      </c>
      <c r="F61" s="817"/>
      <c r="G61" s="817"/>
    </row>
    <row r="62" spans="1:23" s="953" customFormat="1" x14ac:dyDescent="0.25">
      <c r="A62" s="882"/>
      <c r="B62" s="974" t="str">
        <f>IF(B60="No","",Welcome!D12)</f>
        <v/>
      </c>
      <c r="C62" s="981">
        <f>IF($B$60="YES - Purchase Commitment",Incentives!$K$66/$G$5,Incentives!$K$66)</f>
        <v>0</v>
      </c>
      <c r="D62" s="982">
        <f>$G$4</f>
        <v>0</v>
      </c>
      <c r="E62" s="311"/>
      <c r="F62" s="817"/>
      <c r="G62" s="817"/>
      <c r="H62" s="312"/>
      <c r="M62" s="312"/>
      <c r="R62" s="312"/>
      <c r="W62" s="312"/>
    </row>
    <row r="63" spans="1:23" s="953" customFormat="1" x14ac:dyDescent="0.25">
      <c r="A63" s="882"/>
      <c r="B63" s="883"/>
      <c r="C63" s="966"/>
      <c r="D63" s="983" t="s">
        <v>1299</v>
      </c>
      <c r="E63" s="311"/>
      <c r="F63" s="817"/>
      <c r="G63" s="817"/>
      <c r="H63" s="312"/>
      <c r="M63" s="312"/>
      <c r="R63" s="312"/>
      <c r="W63" s="312"/>
    </row>
    <row r="64" spans="1:23" s="953" customFormat="1" x14ac:dyDescent="0.25">
      <c r="A64" s="882"/>
      <c r="B64" s="883"/>
      <c r="C64" s="966"/>
      <c r="D64" s="772" t="e">
        <f>Incentives!$K$66/(Incentives!$G$5*Incentives!$G$4)</f>
        <v>#DIV/0!</v>
      </c>
      <c r="E64" s="311"/>
      <c r="F64" s="817"/>
      <c r="G64" s="817"/>
      <c r="H64" s="312"/>
      <c r="M64" s="312"/>
      <c r="R64" s="312"/>
      <c r="W64" s="312"/>
    </row>
    <row r="65" spans="1:23" ht="15.75" thickBot="1" x14ac:dyDescent="0.3">
      <c r="A65" s="291"/>
      <c r="B65" s="292"/>
      <c r="C65" s="292"/>
      <c r="D65" s="293"/>
      <c r="F65" s="817"/>
      <c r="G65" s="817"/>
      <c r="I65" s="953"/>
    </row>
    <row r="66" spans="1:23" s="947" customFormat="1" ht="15.75" thickBot="1" x14ac:dyDescent="0.3">
      <c r="A66" s="1214" t="s">
        <v>1285</v>
      </c>
      <c r="B66" s="1215"/>
      <c r="C66" s="1215"/>
      <c r="D66" s="1216"/>
      <c r="E66" s="936"/>
      <c r="F66" s="937"/>
      <c r="G66" s="939"/>
      <c r="H66" s="862"/>
      <c r="I66"/>
      <c r="M66" s="312"/>
      <c r="R66" s="312"/>
      <c r="W66" s="312"/>
    </row>
    <row r="67" spans="1:23" s="947" customFormat="1" x14ac:dyDescent="0.25">
      <c r="A67" s="321" t="s">
        <v>761</v>
      </c>
      <c r="B67" s="322">
        <f>$L$4</f>
        <v>44332</v>
      </c>
      <c r="C67" s="323" t="s">
        <v>772</v>
      </c>
      <c r="D67" s="327">
        <f>$S$4</f>
        <v>44338</v>
      </c>
      <c r="E67" s="904"/>
      <c r="F67" s="817"/>
      <c r="G67" s="817"/>
      <c r="H67" s="933"/>
      <c r="M67" s="312"/>
      <c r="R67" s="312"/>
      <c r="W67" s="312"/>
    </row>
    <row r="68" spans="1:23" s="947" customFormat="1" x14ac:dyDescent="0.25">
      <c r="A68" s="143" t="s">
        <v>906</v>
      </c>
      <c r="B68" s="955" t="str">
        <f>Incentives!$I$71</f>
        <v>Select Payment Method</v>
      </c>
      <c r="C68" s="817"/>
      <c r="D68" s="144"/>
      <c r="E68" s="904"/>
      <c r="F68" s="817"/>
      <c r="G68" s="817"/>
      <c r="H68" s="933"/>
      <c r="M68" s="312"/>
      <c r="R68" s="312"/>
      <c r="W68" s="312"/>
    </row>
    <row r="69" spans="1:23" s="947" customFormat="1" x14ac:dyDescent="0.25">
      <c r="A69" s="977" t="s">
        <v>1296</v>
      </c>
      <c r="B69" s="968">
        <f>Incentives!$M$71</f>
        <v>0</v>
      </c>
      <c r="C69" s="978" t="s">
        <v>1292</v>
      </c>
      <c r="D69" s="971">
        <f>Incentives!$G$71</f>
        <v>0</v>
      </c>
      <c r="E69" s="904"/>
      <c r="F69" s="817"/>
      <c r="G69" s="817"/>
      <c r="H69" s="933"/>
      <c r="M69" s="312"/>
      <c r="R69" s="312"/>
      <c r="W69" s="312"/>
    </row>
    <row r="70" spans="1:23" s="947" customFormat="1" x14ac:dyDescent="0.25">
      <c r="A70" s="977" t="s">
        <v>1293</v>
      </c>
      <c r="B70" s="969">
        <f>Incentives!$G$75</f>
        <v>0</v>
      </c>
      <c r="C70" s="979" t="s">
        <v>824</v>
      </c>
      <c r="D70" s="972">
        <f>Incentives!$I$75</f>
        <v>0</v>
      </c>
      <c r="E70" s="904"/>
      <c r="F70" s="817"/>
      <c r="G70" s="817"/>
      <c r="H70" s="933"/>
      <c r="M70" s="312"/>
      <c r="R70" s="312"/>
      <c r="W70" s="312"/>
    </row>
    <row r="71" spans="1:23" s="953" customFormat="1" x14ac:dyDescent="0.25">
      <c r="A71" s="977" t="s">
        <v>1294</v>
      </c>
      <c r="B71" s="970">
        <f>Incentives!$K$75</f>
        <v>0</v>
      </c>
      <c r="C71" s="979" t="s">
        <v>1295</v>
      </c>
      <c r="D71" s="971">
        <f>Incentives!$K$71</f>
        <v>0</v>
      </c>
      <c r="E71" s="904"/>
      <c r="F71" s="817"/>
      <c r="G71" s="817"/>
      <c r="H71" s="933"/>
      <c r="M71" s="312"/>
      <c r="R71" s="312"/>
      <c r="W71" s="312"/>
    </row>
    <row r="72" spans="1:23" s="947" customFormat="1" ht="15.75" thickBot="1" x14ac:dyDescent="0.3">
      <c r="A72" s="291"/>
      <c r="B72" s="292"/>
      <c r="C72" s="980" t="s">
        <v>1297</v>
      </c>
      <c r="D72" s="973">
        <f>Incentives!$G$5*Incentives!$G$4</f>
        <v>0</v>
      </c>
      <c r="E72" s="904"/>
      <c r="F72" s="817"/>
      <c r="G72" s="817"/>
      <c r="H72" s="933"/>
      <c r="M72" s="312"/>
      <c r="R72" s="312"/>
      <c r="W72" s="312"/>
    </row>
    <row r="73" spans="1:23" ht="15.75" thickBot="1" x14ac:dyDescent="0.3">
      <c r="A73" s="947"/>
      <c r="B73" s="947"/>
      <c r="C73" s="947"/>
      <c r="D73" s="947"/>
      <c r="E73" s="904"/>
      <c r="F73" s="817"/>
      <c r="G73" s="817"/>
      <c r="H73" s="933"/>
      <c r="I73" s="947"/>
    </row>
    <row r="74" spans="1:23" x14ac:dyDescent="0.25">
      <c r="A74" s="1214" t="str">
        <f>Incentives!G80</f>
        <v>CHECK Business Tools (General)</v>
      </c>
      <c r="B74" s="1215"/>
      <c r="C74" s="1215"/>
      <c r="D74" s="1215"/>
      <c r="E74" s="904"/>
      <c r="F74" s="817"/>
      <c r="G74" s="817"/>
      <c r="H74" s="933"/>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14" t="s">
        <v>1106</v>
      </c>
      <c r="B80" s="1215"/>
      <c r="C80" s="1215"/>
      <c r="D80" s="1216"/>
      <c r="E80" s="936"/>
      <c r="F80" s="937"/>
      <c r="G80" s="938"/>
      <c r="H80" s="940"/>
    </row>
    <row r="81" spans="1:4" x14ac:dyDescent="0.25">
      <c r="A81" s="143" t="s">
        <v>761</v>
      </c>
      <c r="B81" s="817"/>
      <c r="C81" s="817" t="s">
        <v>763</v>
      </c>
      <c r="D81" s="144"/>
    </row>
    <row r="82" spans="1:4" x14ac:dyDescent="0.25">
      <c r="A82" s="143" t="s">
        <v>926</v>
      </c>
      <c r="B82" s="817" t="str">
        <f>Incentives!$I$88</f>
        <v>Select Payment Method</v>
      </c>
      <c r="C82" s="817"/>
      <c r="D82" s="144"/>
    </row>
    <row r="83" spans="1:4" x14ac:dyDescent="0.25">
      <c r="A83" s="143"/>
      <c r="B83" s="817"/>
      <c r="C83" s="928"/>
      <c r="D83" s="930" t="s">
        <v>782</v>
      </c>
    </row>
    <row r="84" spans="1:4" ht="15.75" thickBot="1" x14ac:dyDescent="0.3">
      <c r="A84" s="291"/>
      <c r="B84" s="292"/>
      <c r="C84" s="929"/>
      <c r="D84" s="944">
        <f>Incentives!$G$91</f>
        <v>0</v>
      </c>
    </row>
  </sheetData>
  <sheetProtection algorithmName="SHA-512" hashValue="G22nv6keIQ2vFjoJ4wHrnAikbOrM4tuvpsHxNUd/jX4pA3hzAPlt9nK/s0z709eTiIMZm/6EnV68UdtFiLbPqA==" saltValue="5LDMLZfnlmipOUp2ljFvEg==" spinCount="100000" sheet="1" objects="1" scenarios="1"/>
  <mergeCells count="54">
    <mergeCell ref="T51:V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9" t="s">
        <v>750</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c r="AV2" s="1310"/>
      <c r="AW2" s="1310"/>
      <c r="AX2" s="1310"/>
      <c r="AY2" s="1310"/>
      <c r="AZ2" s="1310"/>
      <c r="BA2" s="1310"/>
      <c r="BB2" s="1310"/>
      <c r="BC2" s="1310"/>
      <c r="BD2" s="1310"/>
      <c r="BE2" s="1310"/>
      <c r="BF2" s="1311"/>
    </row>
    <row r="3" spans="2:68" x14ac:dyDescent="0.25">
      <c r="B3" s="1312"/>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31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93" t="s">
        <v>677</v>
      </c>
      <c r="C8" s="1294"/>
      <c r="D8" s="1294"/>
      <c r="E8" s="1294"/>
      <c r="F8" s="1294"/>
      <c r="G8" s="1294"/>
      <c r="H8" s="1294"/>
      <c r="I8" s="1294"/>
      <c r="J8" s="1294"/>
      <c r="K8" s="1294"/>
      <c r="L8" s="1294"/>
      <c r="M8" s="1294"/>
      <c r="N8" s="1294"/>
      <c r="O8" s="1294"/>
      <c r="P8" s="1294"/>
      <c r="Q8" s="1294"/>
      <c r="R8" s="1294"/>
      <c r="S8" s="1294"/>
      <c r="T8" s="1294"/>
      <c r="U8" s="1294"/>
      <c r="V8" s="1294"/>
      <c r="W8" s="1294"/>
      <c r="X8" s="1294"/>
      <c r="Y8" s="1294"/>
      <c r="Z8" s="1294"/>
      <c r="AA8" s="1294"/>
      <c r="AB8" s="1294"/>
      <c r="AC8" s="1294"/>
      <c r="AD8" s="1294"/>
      <c r="AE8" s="1294"/>
      <c r="AF8" s="1294"/>
      <c r="AG8" s="1294"/>
      <c r="AH8" s="1294"/>
      <c r="AI8" s="1294"/>
      <c r="AJ8" s="1294"/>
      <c r="AK8" s="1294"/>
      <c r="AL8" s="1294"/>
      <c r="AM8" s="1294"/>
      <c r="AN8" s="1294"/>
      <c r="AO8" s="1294"/>
      <c r="AP8" s="1294"/>
      <c r="AQ8" s="1294"/>
      <c r="AR8" s="1294"/>
      <c r="AS8" s="1294"/>
      <c r="AT8" s="1294"/>
      <c r="AU8" s="1294"/>
      <c r="AV8" s="1294"/>
      <c r="AW8" s="1294"/>
      <c r="AX8" s="1294"/>
      <c r="AY8" s="1294"/>
      <c r="AZ8" s="1294"/>
      <c r="BA8" s="1294"/>
      <c r="BB8" s="1294"/>
      <c r="BC8" s="1294"/>
      <c r="BD8" s="1294"/>
      <c r="BE8" s="1294"/>
      <c r="BF8" s="129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72"/>
      <c r="D10" s="1172"/>
      <c r="E10" s="1172"/>
      <c r="F10" s="1172"/>
      <c r="G10" s="1172"/>
      <c r="H10" s="1172"/>
      <c r="I10" s="1172"/>
      <c r="J10" s="1172"/>
      <c r="K10" s="1285">
        <f>'Tracking &amp; Profitability'!$H$5</f>
        <v>0</v>
      </c>
      <c r="L10" s="1285"/>
      <c r="M10" s="1285"/>
      <c r="N10" s="1285"/>
      <c r="O10" s="1285"/>
      <c r="P10" s="1285"/>
      <c r="Q10" s="1285"/>
      <c r="R10" s="1285"/>
      <c r="S10" s="1285"/>
      <c r="T10" s="1285"/>
      <c r="U10" s="1285"/>
      <c r="V10" s="1285"/>
      <c r="W10" s="1285"/>
      <c r="X10" s="1285"/>
      <c r="Y10" s="1285"/>
      <c r="Z10" s="1285"/>
      <c r="AA10" s="1285"/>
      <c r="AB10" s="1285"/>
      <c r="AC10" s="1285"/>
      <c r="AD10" s="1285"/>
      <c r="AE10" s="1285"/>
      <c r="AI10" s="1172" t="s">
        <v>749</v>
      </c>
      <c r="AJ10" s="1172"/>
      <c r="AK10" s="1172"/>
      <c r="AL10" s="1172"/>
      <c r="AM10" s="1172"/>
      <c r="AN10" s="1172"/>
      <c r="AO10" s="1172"/>
      <c r="AP10" s="1172"/>
      <c r="AQ10" s="1172"/>
      <c r="AR10" s="1172"/>
      <c r="AT10" s="1304"/>
      <c r="AU10" s="1304"/>
      <c r="AV10" s="1304"/>
      <c r="AW10" s="1304"/>
      <c r="AX10" s="1304"/>
      <c r="AY10" s="1304"/>
      <c r="AZ10" s="1304"/>
      <c r="BA10" s="1304"/>
      <c r="BB10" s="1304"/>
      <c r="BC10" s="1304"/>
      <c r="BD10" s="1304"/>
      <c r="BF10" s="144"/>
    </row>
    <row r="11" spans="2:68" x14ac:dyDescent="0.25">
      <c r="B11" s="143"/>
      <c r="AL11" s="2"/>
      <c r="AM11" s="2"/>
      <c r="AN11" s="2"/>
      <c r="AO11" s="2"/>
      <c r="AP11" s="2"/>
      <c r="AQ11" s="2"/>
      <c r="AR11" s="2"/>
      <c r="AS11" s="2"/>
      <c r="AT11" s="2"/>
      <c r="AU11" s="2"/>
      <c r="AV11" s="2"/>
      <c r="BF11" s="144"/>
    </row>
    <row r="12" spans="2:68" x14ac:dyDescent="0.25">
      <c r="B12" s="1288" t="s">
        <v>915</v>
      </c>
      <c r="C12" s="1281"/>
      <c r="D12" s="1281"/>
      <c r="E12" s="1281"/>
      <c r="F12" s="1281"/>
      <c r="G12" s="1281"/>
      <c r="H12" s="1281"/>
      <c r="I12" s="1281"/>
      <c r="J12" s="1281"/>
      <c r="K12" s="1260">
        <f>'Required Info to Submit'!$F$4</f>
        <v>0</v>
      </c>
      <c r="L12" s="1260"/>
      <c r="M12" s="1260"/>
      <c r="N12" s="1260"/>
      <c r="O12" s="1260"/>
      <c r="P12" s="1260"/>
      <c r="Q12" s="1260"/>
      <c r="R12" s="1260"/>
      <c r="S12" s="1260"/>
      <c r="T12" s="1260"/>
      <c r="U12" s="1260"/>
      <c r="V12" s="1260"/>
      <c r="W12" s="1260"/>
      <c r="X12" s="1260"/>
      <c r="Y12" s="1260"/>
      <c r="Z12" s="1260"/>
      <c r="AA12" s="1260"/>
      <c r="AB12" s="1260"/>
      <c r="AC12" s="1260"/>
      <c r="AD12" s="1260"/>
      <c r="AE12" s="126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8" t="s">
        <v>937</v>
      </c>
      <c r="C14" s="1281"/>
      <c r="D14" s="1281"/>
      <c r="E14" s="1281"/>
      <c r="F14" s="1281"/>
      <c r="G14" s="1281"/>
      <c r="H14" s="1281"/>
      <c r="I14" s="1281"/>
      <c r="J14" s="1281"/>
      <c r="K14" s="1281"/>
      <c r="L14" s="1281"/>
      <c r="M14" s="1281"/>
      <c r="N14" s="1281"/>
      <c r="O14" s="1281"/>
      <c r="P14" s="1281"/>
      <c r="Q14" s="1281"/>
      <c r="R14" s="1299">
        <f>'Required Info to Submit'!$F$6</f>
        <v>0</v>
      </c>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8" t="s">
        <v>748</v>
      </c>
      <c r="C16" s="1281"/>
      <c r="D16" s="1281"/>
      <c r="E16" s="1281"/>
      <c r="F16" s="1281"/>
      <c r="G16" s="1281"/>
      <c r="H16" s="1281"/>
      <c r="I16" s="1281"/>
      <c r="J16" s="1281"/>
      <c r="K16" s="1281"/>
      <c r="L16" s="1281"/>
      <c r="M16" s="1281"/>
      <c r="N16" s="1281"/>
      <c r="O16" s="1281"/>
      <c r="P16" s="1281"/>
      <c r="Q16" s="1281"/>
      <c r="R16" s="1260" t="s">
        <v>248</v>
      </c>
      <c r="S16" s="1260"/>
      <c r="T16" s="1277" t="s">
        <v>678</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0" t="s">
        <v>908</v>
      </c>
      <c r="C18" s="1301"/>
      <c r="D18" s="1301"/>
      <c r="E18" s="1301"/>
      <c r="F18" s="1301"/>
      <c r="G18" s="1301"/>
      <c r="H18" s="1301"/>
      <c r="I18" s="1301"/>
      <c r="J18" s="1301"/>
      <c r="K18" s="1301"/>
      <c r="L18" s="1301"/>
      <c r="M18" s="1301"/>
      <c r="N18" s="1301"/>
      <c r="O18" s="1301"/>
      <c r="P18" s="1301"/>
      <c r="Q18" s="1301"/>
      <c r="R18" s="1285">
        <f>'Required Info to Submit'!$F$8</f>
        <v>0</v>
      </c>
      <c r="S18" s="1285"/>
      <c r="T18" s="1285"/>
      <c r="U18" s="1285"/>
      <c r="V18" s="1285"/>
      <c r="W18" s="1285"/>
      <c r="X18" s="1285"/>
      <c r="Y18" s="1285"/>
      <c r="Z18" s="1285"/>
      <c r="AA18" s="1285"/>
      <c r="AB18" s="1285"/>
      <c r="AC18" s="1285"/>
      <c r="AD18" s="1285"/>
      <c r="AE18" s="1285"/>
      <c r="AF18" s="1285"/>
      <c r="AG18" s="1285"/>
      <c r="AH18" s="1285"/>
      <c r="AI18" s="1285"/>
      <c r="AJ18" s="1285"/>
      <c r="AK18" s="1285"/>
      <c r="AL18" s="1285"/>
      <c r="AN18" s="1281" t="s">
        <v>910</v>
      </c>
      <c r="AO18" s="1281"/>
      <c r="AP18" s="1281"/>
      <c r="AQ18" s="1281"/>
      <c r="AR18" s="1281"/>
      <c r="AS18" s="1281"/>
      <c r="AT18" s="1281"/>
      <c r="AU18" s="1281"/>
      <c r="AV18" s="1285">
        <f>'Required Info to Submit'!F10</f>
        <v>0</v>
      </c>
      <c r="AW18" s="1285"/>
      <c r="AX18" s="1285"/>
      <c r="AY18" s="1285"/>
      <c r="AZ18" s="1285"/>
      <c r="BA18" s="1285"/>
      <c r="BB18" s="1285"/>
      <c r="BC18" s="1285"/>
      <c r="BD18" s="128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8" t="s">
        <v>909</v>
      </c>
      <c r="C20" s="1281"/>
      <c r="D20" s="1281"/>
      <c r="E20" s="1281"/>
      <c r="F20" s="1281"/>
      <c r="G20" s="1281"/>
      <c r="H20" s="1281"/>
      <c r="I20" s="1281"/>
      <c r="J20" s="1281"/>
      <c r="K20" s="1281"/>
      <c r="L20" s="1281"/>
      <c r="M20" s="1281"/>
      <c r="N20" s="1281"/>
      <c r="O20" s="1281"/>
      <c r="P20" s="1281"/>
      <c r="Q20" s="1281"/>
      <c r="R20" s="1285">
        <f>'Required Info to Submit'!F9</f>
        <v>0</v>
      </c>
      <c r="S20" s="1285"/>
      <c r="T20" s="1285"/>
      <c r="U20" s="1285"/>
      <c r="V20" s="1285"/>
      <c r="W20" s="1285"/>
      <c r="X20" s="1285"/>
      <c r="Y20" s="1285"/>
      <c r="Z20" s="1285"/>
      <c r="AA20" s="1285"/>
      <c r="AB20" s="1285"/>
      <c r="AC20" s="1285"/>
      <c r="AD20" s="1285"/>
      <c r="AE20" s="1285"/>
      <c r="AF20" s="1285"/>
      <c r="AG20" s="1285"/>
      <c r="AH20" s="1285"/>
      <c r="AI20" s="1285"/>
      <c r="AJ20" s="1285"/>
      <c r="AK20" s="1285"/>
      <c r="AL20" s="1285"/>
      <c r="AN20" s="1281" t="s">
        <v>861</v>
      </c>
      <c r="AO20" s="1281"/>
      <c r="AP20" s="1281"/>
      <c r="AQ20" s="1281"/>
      <c r="AR20" s="1281"/>
      <c r="AS20" s="1281"/>
      <c r="AT20" s="1281"/>
      <c r="AU20" s="1281"/>
      <c r="AV20" s="1285">
        <f>'Required Info to Submit'!F11</f>
        <v>0</v>
      </c>
      <c r="AW20" s="1285"/>
      <c r="AX20" s="1285"/>
      <c r="AY20" s="1285"/>
      <c r="AZ20" s="1285"/>
      <c r="BA20" s="1285"/>
      <c r="BB20" s="1285"/>
      <c r="BC20" s="1285"/>
      <c r="BD20" s="128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8" t="s">
        <v>911</v>
      </c>
      <c r="C22" s="1281"/>
      <c r="D22" s="1281"/>
      <c r="E22" s="1281"/>
      <c r="F22" s="1281"/>
      <c r="G22" s="1281"/>
      <c r="H22" s="1281"/>
      <c r="I22" s="1281"/>
      <c r="J22" s="1281"/>
      <c r="K22" s="1281"/>
      <c r="L22" s="1281"/>
      <c r="M22" s="1281"/>
      <c r="N22" s="1281"/>
      <c r="O22" s="1281"/>
      <c r="P22" s="1281"/>
      <c r="Q22" s="1281"/>
      <c r="R22" s="1285">
        <f>'Required Info to Submit'!F12</f>
        <v>0</v>
      </c>
      <c r="S22" s="1285"/>
      <c r="T22" s="1285"/>
      <c r="U22" s="1285"/>
      <c r="V22" s="1285"/>
      <c r="W22" s="1285"/>
      <c r="X22" s="1285"/>
      <c r="Y22" s="1285"/>
      <c r="Z22" s="1285"/>
      <c r="AA22" s="1285"/>
      <c r="AB22" s="1285"/>
      <c r="AC22" s="1285"/>
      <c r="AD22" s="1285"/>
      <c r="AE22" s="1285"/>
      <c r="AF22" s="1285"/>
      <c r="AG22" s="1285"/>
      <c r="AH22" s="1285"/>
      <c r="AI22" s="1285"/>
      <c r="AJ22" s="1285"/>
      <c r="AK22" s="1285"/>
      <c r="AL22" s="1285"/>
      <c r="AN22" s="1281"/>
      <c r="AO22" s="1281"/>
      <c r="AP22" s="1281"/>
      <c r="AQ22" s="1281"/>
      <c r="AR22" s="1281"/>
      <c r="AS22" s="1281"/>
      <c r="AT22" s="1281"/>
      <c r="AU22" s="1281"/>
      <c r="AV22" s="1302"/>
      <c r="AW22" s="1302"/>
      <c r="AX22" s="1302"/>
      <c r="AY22" s="1302"/>
      <c r="AZ22" s="1302"/>
      <c r="BA22" s="1302"/>
      <c r="BB22" s="1302"/>
      <c r="BC22" s="1302"/>
      <c r="BD22" s="130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8" t="s">
        <v>912</v>
      </c>
      <c r="C24" s="1281"/>
      <c r="D24" s="1281"/>
      <c r="E24" s="1281"/>
      <c r="F24" s="1281"/>
      <c r="G24" s="1281"/>
      <c r="H24" s="1281"/>
      <c r="I24" s="1281"/>
      <c r="J24" s="1281"/>
      <c r="K24" s="1281"/>
      <c r="L24" s="1281"/>
      <c r="M24" s="1281"/>
      <c r="N24" s="1281"/>
      <c r="O24" s="1281"/>
      <c r="P24" s="1281"/>
      <c r="Q24" s="1281"/>
      <c r="R24" s="1297">
        <f>'Required Info to Submit'!$F$14</f>
        <v>44332</v>
      </c>
      <c r="S24" s="1297"/>
      <c r="T24" s="1297"/>
      <c r="U24" s="1297"/>
      <c r="V24" s="1297"/>
      <c r="W24" s="1297"/>
      <c r="X24" s="1297"/>
      <c r="Y24" s="1297"/>
      <c r="Z24" s="1297"/>
      <c r="AA24" s="1297"/>
      <c r="AB24" s="1297"/>
      <c r="AC24" s="1297"/>
      <c r="AN24" s="1172" t="s">
        <v>916</v>
      </c>
      <c r="AO24" s="1172"/>
      <c r="AP24" s="1172"/>
      <c r="AQ24" s="1172"/>
      <c r="AR24" s="1172"/>
      <c r="AS24" s="1172"/>
      <c r="AT24" s="1172"/>
      <c r="AU24" s="1172"/>
      <c r="AV24" s="1303">
        <f>'Incentive Setup'!$S$4</f>
        <v>44338</v>
      </c>
      <c r="AW24" s="1303"/>
      <c r="AX24" s="1303"/>
      <c r="AY24" s="1303"/>
      <c r="AZ24" s="1303"/>
      <c r="BA24" s="1303"/>
      <c r="BB24" s="1303"/>
      <c r="BC24" s="1303"/>
      <c r="BD24" s="1303"/>
      <c r="BF24" s="144"/>
    </row>
    <row r="25" spans="2:68" ht="17.25" x14ac:dyDescent="0.25">
      <c r="B25" s="143"/>
      <c r="C25" s="302"/>
      <c r="D25" s="302"/>
      <c r="E25" s="302"/>
      <c r="F25" s="302"/>
      <c r="G25" s="302"/>
      <c r="H25" s="1296" t="s">
        <v>747</v>
      </c>
      <c r="I25" s="1296"/>
      <c r="J25" s="1296"/>
      <c r="K25" s="1296"/>
      <c r="L25" s="1296"/>
      <c r="M25" s="1296"/>
      <c r="N25" s="1296"/>
      <c r="O25" s="1296"/>
      <c r="P25" s="1296"/>
      <c r="Q25" s="302"/>
      <c r="AN25" s="1296" t="s">
        <v>746</v>
      </c>
      <c r="AO25" s="1296"/>
      <c r="AP25" s="1296"/>
      <c r="AQ25" s="1296"/>
      <c r="AR25" s="1296"/>
      <c r="AS25" s="1296"/>
      <c r="AT25" s="1296"/>
      <c r="BF25" s="144"/>
    </row>
    <row r="26" spans="2:68" ht="18.75" x14ac:dyDescent="0.3">
      <c r="B26" s="1293" t="s">
        <v>683</v>
      </c>
      <c r="C26" s="1294"/>
      <c r="D26" s="1294"/>
      <c r="E26" s="1294"/>
      <c r="F26" s="1294"/>
      <c r="G26" s="1294"/>
      <c r="H26" s="1294"/>
      <c r="I26" s="1294"/>
      <c r="J26" s="1294"/>
      <c r="K26" s="1294"/>
      <c r="L26" s="1294"/>
      <c r="M26" s="1294"/>
      <c r="N26" s="1294"/>
      <c r="O26" s="1294"/>
      <c r="P26" s="1294"/>
      <c r="Q26" s="1294"/>
      <c r="R26" s="1294"/>
      <c r="S26" s="1294"/>
      <c r="T26" s="1294"/>
      <c r="U26" s="1294"/>
      <c r="V26" s="1294"/>
      <c r="W26" s="1294"/>
      <c r="X26" s="1294"/>
      <c r="Y26" s="1294"/>
      <c r="Z26" s="1294"/>
      <c r="AA26" s="1294"/>
      <c r="AB26" s="1294"/>
      <c r="AC26" s="1294"/>
      <c r="AD26" s="1294"/>
      <c r="AE26" s="1294"/>
      <c r="AF26" s="1294"/>
      <c r="AG26" s="1294"/>
      <c r="AH26" s="1294"/>
      <c r="AI26" s="1294"/>
      <c r="AJ26" s="1294"/>
      <c r="AK26" s="1294"/>
      <c r="AL26" s="1294"/>
      <c r="AM26" s="1294"/>
      <c r="AN26" s="1294"/>
      <c r="AO26" s="1294"/>
      <c r="AP26" s="1294"/>
      <c r="AQ26" s="1294"/>
      <c r="AR26" s="1294"/>
      <c r="AS26" s="1294"/>
      <c r="AT26" s="1294"/>
      <c r="AU26" s="1294"/>
      <c r="AV26" s="1294"/>
      <c r="AW26" s="1294"/>
      <c r="AX26" s="1294"/>
      <c r="AY26" s="1294"/>
      <c r="AZ26" s="1294"/>
      <c r="BA26" s="1294"/>
      <c r="BB26" s="1294"/>
      <c r="BC26" s="1294"/>
      <c r="BD26" s="1294"/>
      <c r="BE26" s="1294"/>
      <c r="BF26" s="129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90">
        <f>'Tracking &amp; Profitability'!$E$6</f>
        <v>0</v>
      </c>
      <c r="U28" s="1290"/>
      <c r="V28" s="1290"/>
      <c r="W28" s="1290"/>
      <c r="X28" s="1290"/>
      <c r="Y28" s="1290"/>
      <c r="Z28" s="1290"/>
      <c r="AA28" s="1290"/>
      <c r="AB28" s="1290"/>
      <c r="AF28" t="s">
        <v>745</v>
      </c>
      <c r="AO28" s="1260">
        <v>5</v>
      </c>
      <c r="AP28" s="1260"/>
      <c r="AQ28" s="1260"/>
      <c r="AR28" s="1277" t="s">
        <v>685</v>
      </c>
      <c r="AS28" s="1277"/>
      <c r="AU28" s="1260">
        <v>5</v>
      </c>
      <c r="AV28" s="1260"/>
      <c r="AW28" s="1260"/>
      <c r="AX28" s="1277" t="s">
        <v>744</v>
      </c>
      <c r="AY28" s="1277"/>
      <c r="BA28" s="1260">
        <v>5</v>
      </c>
      <c r="BB28" s="1260"/>
      <c r="BC28" s="1260"/>
      <c r="BD28" s="1277" t="s">
        <v>686</v>
      </c>
      <c r="BE28" s="1277"/>
      <c r="BF28" s="144"/>
    </row>
    <row r="29" spans="2:68" ht="17.25" x14ac:dyDescent="0.25">
      <c r="B29" s="143"/>
      <c r="T29" s="140"/>
      <c r="U29" s="140"/>
      <c r="V29" s="140"/>
      <c r="W29" s="140"/>
      <c r="X29" s="140"/>
      <c r="Y29" s="140"/>
      <c r="Z29" s="140"/>
      <c r="AA29" s="140"/>
      <c r="AB29" s="140"/>
      <c r="AF29" s="1296" t="s">
        <v>743</v>
      </c>
      <c r="AG29" s="1296"/>
      <c r="AH29" s="1296"/>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44"/>
    </row>
    <row r="30" spans="2:68" x14ac:dyDescent="0.25">
      <c r="B30" s="1289" t="s">
        <v>740</v>
      </c>
      <c r="C30" s="1172"/>
      <c r="D30" s="1172"/>
      <c r="E30" s="1172"/>
      <c r="F30" s="1172"/>
      <c r="G30" s="1172"/>
      <c r="H30" s="1172"/>
      <c r="I30" s="1172"/>
      <c r="J30" s="1172"/>
      <c r="K30" s="1172"/>
      <c r="L30" s="1172"/>
      <c r="M30" s="1172"/>
      <c r="N30" s="1172"/>
      <c r="O30" s="1172"/>
      <c r="P30" s="1172"/>
      <c r="Q30" s="1172"/>
      <c r="T30" s="1292">
        <v>1</v>
      </c>
      <c r="U30" s="1292"/>
      <c r="V30" s="1292"/>
      <c r="W30" s="1292"/>
      <c r="AF30" s="1187" t="s">
        <v>742</v>
      </c>
      <c r="AG30" s="1187"/>
      <c r="AH30" s="1187"/>
      <c r="AI30" s="1187"/>
      <c r="AJ30" s="1187"/>
      <c r="AK30" s="1187"/>
      <c r="AL30" s="1187"/>
      <c r="AM30" s="1187"/>
      <c r="AN30" s="1187"/>
      <c r="AO30" s="1187"/>
      <c r="AP30" s="1260" t="s">
        <v>1093</v>
      </c>
      <c r="AQ30" s="1260"/>
      <c r="AR30" s="1260"/>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9" t="s">
        <v>737</v>
      </c>
      <c r="C32" s="1172"/>
      <c r="D32" s="1172"/>
      <c r="E32" s="1172"/>
      <c r="F32" s="1172"/>
      <c r="G32" s="1172"/>
      <c r="H32" s="1172"/>
      <c r="I32" s="1172"/>
      <c r="J32" s="1172"/>
      <c r="K32" s="1172"/>
      <c r="L32" s="1172"/>
      <c r="M32" s="1172"/>
      <c r="N32" s="1172"/>
      <c r="O32" s="1172"/>
      <c r="P32" s="1172"/>
      <c r="Q32" s="1172"/>
      <c r="T32" s="1298" t="s">
        <v>1065</v>
      </c>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BF32" s="144"/>
    </row>
    <row r="33" spans="2:92" x14ac:dyDescent="0.25">
      <c r="B33" s="143"/>
      <c r="BF33" s="144"/>
    </row>
    <row r="34" spans="2:92" x14ac:dyDescent="0.25">
      <c r="B34" s="143"/>
      <c r="C34" s="88"/>
      <c r="D34" s="88"/>
      <c r="E34" s="88"/>
      <c r="F34" s="88"/>
      <c r="G34" s="88"/>
      <c r="H34" s="88"/>
      <c r="I34" s="1260"/>
      <c r="J34" s="1260"/>
      <c r="K34" s="1277" t="s">
        <v>499</v>
      </c>
      <c r="L34" s="1277"/>
      <c r="M34" s="1277"/>
      <c r="N34" s="1277"/>
      <c r="O34" s="1277"/>
      <c r="P34" s="1277"/>
      <c r="Q34" s="1277"/>
      <c r="R34" s="1260" t="s">
        <v>248</v>
      </c>
      <c r="S34" s="1260"/>
      <c r="T34" s="1277" t="s">
        <v>498</v>
      </c>
      <c r="U34" s="1277"/>
      <c r="V34" s="1277"/>
      <c r="W34" s="1277"/>
      <c r="X34" s="1260"/>
      <c r="Y34" s="1260"/>
      <c r="Z34" s="1277" t="s">
        <v>497</v>
      </c>
      <c r="AA34" s="1277"/>
      <c r="AB34" s="1277"/>
      <c r="AF34" t="s">
        <v>739</v>
      </c>
      <c r="AL34" s="1260">
        <v>5</v>
      </c>
      <c r="AM34" s="1260"/>
      <c r="AN34" s="1260"/>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68" t="str">
        <f>IFERROR($T$28/('Tracking &amp; Profitability'!$E$7*52*Welcome!$D$14),"Error on A La Carte")</f>
        <v>Error on A La Carte</v>
      </c>
      <c r="U36" s="1268"/>
      <c r="V36" s="1268"/>
      <c r="W36" s="1268"/>
      <c r="X36" s="1268"/>
      <c r="Y36" s="1268"/>
      <c r="Z36" s="1268"/>
      <c r="AA36" s="1268"/>
      <c r="AB36" s="1268"/>
      <c r="AF36" s="1287" t="s">
        <v>494</v>
      </c>
      <c r="AG36" s="1287"/>
      <c r="AH36" s="1287"/>
      <c r="AI36" s="1287"/>
      <c r="AJ36" s="1287"/>
      <c r="AK36" s="1287"/>
      <c r="AL36" s="1287"/>
      <c r="AM36" s="1287"/>
      <c r="AN36" s="1287"/>
      <c r="AO36" s="1287"/>
      <c r="AP36" s="1287"/>
      <c r="AQ36" s="1287"/>
      <c r="AR36" s="1287"/>
      <c r="AS36" s="1287"/>
      <c r="AU36" s="1260" t="e">
        <f>ROUND(((1-(('PIM Model'!$G$15+'PIM Model'!$G$17+'PIM Model'!$G$18)/'PIM Model'!$G$31))*100),0)&amp;"%/"&amp;ROUND((('PIM Model'!$G$15+'PIM Model'!$G$17+'PIM Model'!$G$18)/'PIM Model'!$G$31*100),0)&amp;"%"</f>
        <v>#DIV/0!</v>
      </c>
      <c r="AV36" s="1260"/>
      <c r="AW36" s="1260"/>
      <c r="AX36" s="1260"/>
      <c r="AY36" s="1260"/>
      <c r="AZ36" s="126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69" t="str">
        <f>IFERROR('PIM Model'!$H$31/('PIM Model'!$E$6*52*Welcome!$D$14),"Error on A La Carte")</f>
        <v>Error on A La Carte</v>
      </c>
      <c r="U38" s="1269"/>
      <c r="V38" s="1269"/>
      <c r="W38" s="1269"/>
      <c r="X38" s="1269"/>
      <c r="Y38" s="1269"/>
      <c r="Z38" s="1269"/>
      <c r="AA38" s="1269"/>
      <c r="AB38" s="1269"/>
      <c r="AC38" s="304"/>
      <c r="AD38" s="304"/>
      <c r="AF38" s="1172" t="s">
        <v>687</v>
      </c>
      <c r="AG38" s="1172"/>
      <c r="AH38" s="1172"/>
      <c r="AI38" s="1172"/>
      <c r="AJ38" s="1172"/>
      <c r="AK38" s="1172"/>
      <c r="AL38" s="1172"/>
      <c r="AM38" s="1172"/>
      <c r="AN38" s="1172"/>
      <c r="AO38" s="1172"/>
      <c r="AP38" s="1172"/>
      <c r="AQ38" s="1172"/>
      <c r="AR38" s="1172"/>
      <c r="AS38" s="1172"/>
      <c r="AU38" s="1260">
        <f>COUNTIF('PIM Model'!$E$10:$E$30,"Include")</f>
        <v>21</v>
      </c>
      <c r="AV38" s="1260"/>
      <c r="AW38" s="1260"/>
      <c r="AX38" s="1260"/>
      <c r="AY38" s="1260"/>
      <c r="AZ38" s="1260"/>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90">
        <f>IFERROR('PIM Model'!$G$31/'PIM Model'!$H$31,0)</f>
        <v>0</v>
      </c>
      <c r="U40" s="1290"/>
      <c r="V40" s="1290"/>
      <c r="W40" s="1290"/>
      <c r="X40" s="1290"/>
      <c r="Y40" s="1290"/>
      <c r="Z40" s="1290"/>
      <c r="AA40" s="1290"/>
      <c r="AB40" s="1290"/>
      <c r="AF40" s="1172" t="s">
        <v>735</v>
      </c>
      <c r="AG40" s="1172"/>
      <c r="AH40" s="1172"/>
      <c r="AI40" s="1172"/>
      <c r="AJ40" s="1172"/>
      <c r="AK40" s="1172"/>
      <c r="AL40" s="1172"/>
      <c r="AM40" s="1172"/>
      <c r="AN40" s="1172"/>
      <c r="AO40" s="1172"/>
      <c r="AP40" s="1172"/>
      <c r="AQ40" s="1172"/>
      <c r="AR40" s="1172"/>
      <c r="AS40" s="1172"/>
      <c r="AU40" s="1260">
        <f>$AO$28+$AU$28+$BA$28</f>
        <v>15</v>
      </c>
      <c r="AV40" s="1260"/>
      <c r="AW40" s="1260"/>
      <c r="BC40" s="1277"/>
      <c r="BD40" s="1277"/>
      <c r="BE40" s="1277"/>
      <c r="BF40" s="144"/>
    </row>
    <row r="41" spans="2:92" x14ac:dyDescent="0.25">
      <c r="B41" s="143"/>
      <c r="BF41" s="144"/>
      <c r="BP41" s="301"/>
      <c r="CN41" s="303"/>
    </row>
    <row r="42" spans="2:92" x14ac:dyDescent="0.25">
      <c r="B42" s="1289" t="s">
        <v>730</v>
      </c>
      <c r="C42" s="1172"/>
      <c r="D42" s="1172"/>
      <c r="E42" s="1172"/>
      <c r="F42" s="1172"/>
      <c r="G42" s="1172"/>
      <c r="H42" s="1172"/>
      <c r="I42" s="1172"/>
      <c r="J42" s="1172"/>
      <c r="K42" s="1172"/>
      <c r="L42" s="1172"/>
      <c r="M42" s="1172"/>
      <c r="N42" s="1172"/>
      <c r="O42" s="1172"/>
      <c r="P42" s="1172"/>
      <c r="Q42" s="1172"/>
      <c r="R42" s="1172"/>
      <c r="T42" s="1290" t="s">
        <v>789</v>
      </c>
      <c r="U42" s="1290"/>
      <c r="V42" s="1290"/>
      <c r="W42" s="1290"/>
      <c r="X42" s="1290"/>
      <c r="Y42" s="1290"/>
      <c r="Z42" s="1290"/>
      <c r="AA42" s="1290"/>
      <c r="AB42" s="1290"/>
      <c r="AF42" s="1172" t="s">
        <v>733</v>
      </c>
      <c r="AG42" s="1172"/>
      <c r="AH42" s="1172"/>
      <c r="AI42" s="1172"/>
      <c r="AJ42" s="1172"/>
      <c r="AK42" s="1172"/>
      <c r="AL42" s="1172"/>
      <c r="AM42" s="1172"/>
      <c r="AN42" s="1172"/>
      <c r="AO42" s="1172"/>
      <c r="AP42" s="1172"/>
      <c r="AQ42" s="1172"/>
      <c r="AR42" s="1172"/>
      <c r="AS42" s="1172"/>
      <c r="AU42" s="1260" t="s">
        <v>679</v>
      </c>
      <c r="AV42" s="1260"/>
      <c r="AW42" s="1260"/>
      <c r="BC42" s="1277"/>
      <c r="BD42" s="1277"/>
      <c r="BE42" s="1277"/>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91">
        <f>'Tracking &amp; Profitability'!$E$7</f>
        <v>0</v>
      </c>
      <c r="U44" s="1291"/>
      <c r="V44" s="1291"/>
      <c r="W44" s="1291"/>
      <c r="X44" s="1291"/>
      <c r="Y44" s="1291"/>
      <c r="Z44" s="1291"/>
      <c r="AA44" s="1291"/>
      <c r="AB44" s="1291"/>
      <c r="AF44" s="1172" t="s">
        <v>731</v>
      </c>
      <c r="AG44" s="1172"/>
      <c r="AH44" s="1172"/>
      <c r="AI44" s="1172"/>
      <c r="AJ44" s="1172"/>
      <c r="AK44" s="1172"/>
      <c r="AL44" s="1172"/>
      <c r="AM44" s="1172"/>
      <c r="AN44" s="1172"/>
      <c r="AO44" s="1172"/>
      <c r="AP44" s="1172"/>
      <c r="AQ44" s="1172"/>
      <c r="AR44" s="1172"/>
      <c r="AS44" s="1172"/>
      <c r="AU44" s="1260" t="s">
        <v>679</v>
      </c>
      <c r="AV44" s="1260"/>
      <c r="AW44" s="1260"/>
      <c r="BC44" s="1277"/>
      <c r="BD44" s="1277"/>
      <c r="BE44" s="1277"/>
      <c r="BF44" s="144"/>
    </row>
    <row r="45" spans="2:92" x14ac:dyDescent="0.25">
      <c r="B45" s="143"/>
      <c r="BF45" s="144"/>
      <c r="CN45" s="303"/>
    </row>
    <row r="46" spans="2:92" x14ac:dyDescent="0.25">
      <c r="B46" s="1283" t="s">
        <v>688</v>
      </c>
      <c r="C46" s="1284"/>
      <c r="D46" s="1284"/>
      <c r="E46" s="1284"/>
      <c r="F46" s="1284"/>
      <c r="G46" s="1284"/>
      <c r="H46" s="1284"/>
      <c r="I46" s="1284"/>
      <c r="J46" s="1284"/>
      <c r="K46" s="1284"/>
      <c r="L46" s="1284"/>
      <c r="M46" s="1284"/>
      <c r="N46" s="1284"/>
      <c r="O46" s="1284"/>
      <c r="P46" s="1284"/>
      <c r="Q46" s="1284"/>
      <c r="R46" s="1284"/>
      <c r="T46" s="1285">
        <v>150</v>
      </c>
      <c r="U46" s="1285"/>
      <c r="V46" s="1285"/>
      <c r="W46" s="1285"/>
      <c r="X46" s="1285"/>
      <c r="Y46" s="1285"/>
      <c r="Z46" s="1285"/>
      <c r="AA46" s="1285"/>
      <c r="AB46" s="1285"/>
      <c r="AF46" s="1266" t="s">
        <v>729</v>
      </c>
      <c r="AG46" s="1266"/>
      <c r="AH46" s="1266"/>
      <c r="AI46" s="1266"/>
      <c r="AJ46" s="1266"/>
      <c r="AK46" s="1266"/>
      <c r="AL46" s="1266"/>
      <c r="AM46" s="1266"/>
      <c r="AN46" s="1266"/>
      <c r="AO46" s="1266"/>
      <c r="AP46" s="1266"/>
      <c r="AQ46" s="1266"/>
      <c r="AR46" s="1266"/>
      <c r="AS46" s="1266"/>
      <c r="AU46" s="1273">
        <v>0.25</v>
      </c>
      <c r="AV46" s="1273"/>
      <c r="AW46" s="1273"/>
      <c r="AX46" s="1273"/>
      <c r="AY46" s="1273"/>
      <c r="AZ46" s="1273"/>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85">
        <f>$K$10</f>
        <v>0</v>
      </c>
      <c r="U48" s="1285"/>
      <c r="V48" s="1285"/>
      <c r="W48" s="1285"/>
      <c r="X48" s="1285"/>
      <c r="Y48" s="1285"/>
      <c r="Z48" s="1285"/>
      <c r="AA48" s="1285"/>
      <c r="AB48" s="1285"/>
      <c r="AF48" s="1266" t="s">
        <v>727</v>
      </c>
      <c r="AG48" s="1266"/>
      <c r="AH48" s="1266"/>
      <c r="AI48" s="1266"/>
      <c r="AJ48" s="1266"/>
      <c r="AK48" s="1266"/>
      <c r="AL48" s="1266"/>
      <c r="AM48" s="1266"/>
      <c r="AN48" s="1266"/>
      <c r="AO48" s="1266"/>
      <c r="AP48" s="1266"/>
      <c r="AQ48" s="1266"/>
      <c r="AR48" s="1266"/>
      <c r="AS48" s="1266"/>
      <c r="AU48" s="1258">
        <v>1.75</v>
      </c>
      <c r="AV48" s="1259"/>
      <c r="AW48" s="1259"/>
      <c r="AX48" s="1259"/>
      <c r="AY48" s="1259"/>
      <c r="AZ48" s="1259"/>
      <c r="BF48" s="144"/>
    </row>
    <row r="49" spans="2:92" x14ac:dyDescent="0.25">
      <c r="B49" s="143"/>
      <c r="BF49" s="144"/>
      <c r="CN49" s="303"/>
    </row>
    <row r="50" spans="2:92" x14ac:dyDescent="0.25">
      <c r="B50" s="1265" t="s">
        <v>726</v>
      </c>
      <c r="C50" s="1266"/>
      <c r="D50" s="1266"/>
      <c r="E50" s="1266"/>
      <c r="F50" s="1266"/>
      <c r="G50" s="1266"/>
      <c r="H50" s="1266"/>
      <c r="I50" s="1266"/>
      <c r="J50" s="1266"/>
      <c r="K50" s="1266"/>
      <c r="L50" s="1266"/>
      <c r="M50" s="1266"/>
      <c r="N50" s="1266"/>
      <c r="O50" s="1266"/>
      <c r="P50" s="1266"/>
      <c r="Q50" s="1266"/>
      <c r="R50" s="1266"/>
      <c r="T50" s="1267">
        <v>500</v>
      </c>
      <c r="U50" s="1267"/>
      <c r="V50" s="1267"/>
      <c r="W50" s="1267"/>
      <c r="X50" s="1267"/>
      <c r="Y50" s="1267"/>
      <c r="Z50" s="1172" t="s">
        <v>725</v>
      </c>
      <c r="AA50" s="1172"/>
      <c r="AB50" s="1172"/>
      <c r="AC50" s="1267">
        <v>25</v>
      </c>
      <c r="AD50" s="1267"/>
      <c r="AE50" s="1267"/>
      <c r="AF50" s="1267"/>
      <c r="AG50" s="126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0" t="s">
        <v>709</v>
      </c>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1271"/>
      <c r="AK53" s="1271"/>
      <c r="AL53" s="1271"/>
      <c r="AM53" s="1271"/>
      <c r="AN53" s="1271"/>
      <c r="AO53" s="1271"/>
      <c r="AP53" s="1271"/>
      <c r="AQ53" s="1271"/>
      <c r="AR53" s="1271"/>
      <c r="AS53" s="1271"/>
      <c r="AT53" s="1271"/>
      <c r="AU53" s="1271"/>
      <c r="AV53" s="1271"/>
      <c r="AW53" s="1271"/>
      <c r="AX53" s="1271"/>
      <c r="AY53" s="1271"/>
      <c r="AZ53" s="1271"/>
      <c r="BA53" s="1271"/>
      <c r="BB53" s="1271"/>
      <c r="BC53" s="1271"/>
      <c r="BD53" s="1271"/>
      <c r="BE53" s="1271"/>
      <c r="BF53" s="1272"/>
    </row>
    <row r="54" spans="2:92" x14ac:dyDescent="0.25">
      <c r="B54" s="1274" t="s">
        <v>724</v>
      </c>
      <c r="C54" s="1275"/>
      <c r="D54" s="1275"/>
      <c r="E54" s="1275"/>
      <c r="F54" s="1275"/>
      <c r="G54" s="1275"/>
      <c r="H54" s="1275"/>
      <c r="I54" s="127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c r="BD54" s="1275"/>
      <c r="BE54" s="1275"/>
      <c r="BF54" s="1276"/>
      <c r="BP54" s="301"/>
    </row>
    <row r="55" spans="2:92" x14ac:dyDescent="0.25">
      <c r="B55" s="143"/>
      <c r="AC55" s="306"/>
      <c r="AD55" s="306"/>
      <c r="AE55" s="306"/>
      <c r="AF55" s="306"/>
      <c r="AG55" s="306"/>
      <c r="AH55" s="306"/>
      <c r="AK55" s="1281"/>
      <c r="AL55" s="1281"/>
      <c r="AM55" s="1281"/>
      <c r="AN55" s="1281"/>
      <c r="AO55" s="1162"/>
      <c r="AP55" s="1162"/>
      <c r="AQ55" s="1162"/>
      <c r="AR55" s="140"/>
      <c r="AS55" s="140"/>
      <c r="AT55" s="1162"/>
      <c r="AU55" s="1162"/>
      <c r="AV55" s="1162"/>
      <c r="AW55" s="140"/>
      <c r="AX55" s="140"/>
      <c r="AY55" s="1162"/>
      <c r="AZ55" s="1162"/>
      <c r="BA55" s="1162"/>
      <c r="BB55" s="140"/>
      <c r="BC55" s="140"/>
      <c r="BD55" s="1162"/>
      <c r="BE55" s="1162"/>
      <c r="BF55" s="1257"/>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60" t="str">
        <f>'PIM Model'!$AD$11</f>
        <v/>
      </c>
      <c r="AD56" s="1260"/>
      <c r="AE56" s="1260" t="str">
        <f>'PIM Model'!$D$11</f>
        <v>%</v>
      </c>
      <c r="AF56" s="1260"/>
      <c r="AG56" s="1260" t="str">
        <f>'PIM Model'!$D$11</f>
        <v>%</v>
      </c>
      <c r="AH56" s="1260"/>
      <c r="AI56" s="1277" t="str">
        <f>'PIM Model'!$D$11</f>
        <v>%</v>
      </c>
      <c r="AJ56" s="1277"/>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57"/>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02" t="s">
        <v>98</v>
      </c>
      <c r="D62" s="1102"/>
      <c r="E62" s="1102"/>
      <c r="F62" s="1102"/>
      <c r="G62" s="1102"/>
      <c r="H62" s="1102"/>
      <c r="I62" s="1102"/>
      <c r="J62" s="1102"/>
      <c r="K62" s="1102"/>
      <c r="L62" s="1102"/>
      <c r="M62" s="1102"/>
      <c r="N62" s="1102"/>
      <c r="O62" s="1102"/>
      <c r="P62" s="1102"/>
      <c r="Q62" s="1102"/>
      <c r="R62" s="1102"/>
      <c r="S62" s="1102"/>
      <c r="T62" s="1102"/>
      <c r="U62" s="1102"/>
      <c r="V62" s="1102"/>
      <c r="W62" s="1102"/>
      <c r="X62" s="1102"/>
      <c r="Y62" s="1102"/>
      <c r="Z62" s="1102"/>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02" t="s">
        <v>97</v>
      </c>
      <c r="D63" s="1102"/>
      <c r="E63" s="1102"/>
      <c r="F63" s="1102"/>
      <c r="G63" s="1102"/>
      <c r="H63" s="1102"/>
      <c r="I63" s="1102"/>
      <c r="J63" s="1102"/>
      <c r="K63" s="1102"/>
      <c r="L63" s="1102"/>
      <c r="M63" s="1102"/>
      <c r="N63" s="1102"/>
      <c r="O63" s="1102"/>
      <c r="P63" s="1102"/>
      <c r="Q63" s="1102"/>
      <c r="R63" s="1102"/>
      <c r="S63" s="1102"/>
      <c r="T63" s="1102"/>
      <c r="U63" s="1102"/>
      <c r="V63" s="1102"/>
      <c r="W63" s="1102"/>
      <c r="X63" s="1102"/>
      <c r="Y63" s="1102"/>
      <c r="Z63" s="1102"/>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02" t="s">
        <v>96</v>
      </c>
      <c r="D64" s="1102"/>
      <c r="E64" s="1102"/>
      <c r="F64" s="1102"/>
      <c r="G64" s="1102"/>
      <c r="H64" s="1102"/>
      <c r="I64" s="1102"/>
      <c r="J64" s="1102"/>
      <c r="K64" s="1102"/>
      <c r="L64" s="1102"/>
      <c r="M64" s="1102"/>
      <c r="N64" s="1102"/>
      <c r="O64" s="1102"/>
      <c r="P64" s="1102"/>
      <c r="Q64" s="1102"/>
      <c r="R64" s="1102"/>
      <c r="S64" s="1102"/>
      <c r="T64" s="1102"/>
      <c r="U64" s="1102"/>
      <c r="V64" s="1102"/>
      <c r="W64" s="1102"/>
      <c r="X64" s="1102"/>
      <c r="Y64" s="1102"/>
      <c r="Z64" s="1102"/>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02" t="s">
        <v>95</v>
      </c>
      <c r="D65" s="1102"/>
      <c r="E65" s="1102"/>
      <c r="F65" s="1102"/>
      <c r="G65" s="1102"/>
      <c r="H65" s="1102"/>
      <c r="I65" s="1102"/>
      <c r="J65" s="1102"/>
      <c r="K65" s="1102"/>
      <c r="L65" s="1102"/>
      <c r="M65" s="1102"/>
      <c r="N65" s="1102"/>
      <c r="O65" s="1102"/>
      <c r="P65" s="1102"/>
      <c r="Q65" s="1102"/>
      <c r="R65" s="1102"/>
      <c r="S65" s="1102"/>
      <c r="T65" s="1102"/>
      <c r="U65" s="1102"/>
      <c r="V65" s="1102"/>
      <c r="W65" s="1102"/>
      <c r="X65" s="1102"/>
      <c r="Y65" s="1102"/>
      <c r="Z65" s="1102"/>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02" t="s">
        <v>94</v>
      </c>
      <c r="D66" s="1102"/>
      <c r="E66" s="1102"/>
      <c r="F66" s="1102"/>
      <c r="G66" s="1102"/>
      <c r="H66" s="1102"/>
      <c r="I66" s="1102"/>
      <c r="J66" s="1102"/>
      <c r="K66" s="1102"/>
      <c r="L66" s="1102"/>
      <c r="M66" s="1102"/>
      <c r="N66" s="1102"/>
      <c r="O66" s="1102"/>
      <c r="P66" s="1102"/>
      <c r="Q66" s="1102"/>
      <c r="R66" s="1102"/>
      <c r="S66" s="1102"/>
      <c r="T66" s="1102"/>
      <c r="U66" s="1102"/>
      <c r="V66" s="1102"/>
      <c r="W66" s="1102"/>
      <c r="X66" s="1102"/>
      <c r="Y66" s="1102"/>
      <c r="Z66" s="1102"/>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7" t="s">
        <v>723</v>
      </c>
      <c r="F67" s="1277"/>
      <c r="G67" s="1277"/>
      <c r="H67" s="1277"/>
      <c r="I67" s="1277"/>
      <c r="J67" s="1277"/>
      <c r="K67" s="1277"/>
      <c r="M67" s="1278" t="s">
        <v>248</v>
      </c>
      <c r="N67" s="1278"/>
      <c r="O67" s="1278"/>
      <c r="P67" t="s">
        <v>679</v>
      </c>
      <c r="S67" s="1279"/>
      <c r="T67" s="1279"/>
      <c r="U67" s="1279"/>
      <c r="V67" s="1277" t="s">
        <v>681</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02" t="s">
        <v>93</v>
      </c>
      <c r="D68" s="1102"/>
      <c r="E68" s="1102"/>
      <c r="F68" s="1102"/>
      <c r="G68" s="1102"/>
      <c r="H68" s="1102"/>
      <c r="I68" s="1102"/>
      <c r="J68" s="1102"/>
      <c r="K68" s="1102"/>
      <c r="L68" s="1102"/>
      <c r="M68" s="1102"/>
      <c r="N68" s="1102"/>
      <c r="O68" s="1102"/>
      <c r="P68" s="1102"/>
      <c r="Q68" s="1102"/>
      <c r="R68" s="1102"/>
      <c r="S68" s="1102"/>
      <c r="T68" s="1102"/>
      <c r="U68" s="1102"/>
      <c r="V68" s="1102"/>
      <c r="W68" s="1102"/>
      <c r="X68" s="1102"/>
      <c r="Y68" s="1102"/>
      <c r="Z68" s="1102"/>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02" t="s">
        <v>92</v>
      </c>
      <c r="D69" s="1102"/>
      <c r="E69" s="1102"/>
      <c r="F69" s="1102"/>
      <c r="G69" s="1102"/>
      <c r="H69" s="1102"/>
      <c r="I69" s="1102"/>
      <c r="J69" s="1102"/>
      <c r="K69" s="1102"/>
      <c r="L69" s="1102"/>
      <c r="M69" s="1102"/>
      <c r="N69" s="1102"/>
      <c r="O69" s="1102"/>
      <c r="P69" s="1102"/>
      <c r="Q69" s="1102"/>
      <c r="R69" s="1102"/>
      <c r="S69" s="1102"/>
      <c r="T69" s="1102"/>
      <c r="U69" s="1102"/>
      <c r="V69" s="1102"/>
      <c r="W69" s="1102"/>
      <c r="X69" s="1102"/>
      <c r="Y69" s="1102"/>
      <c r="Z69" s="1102"/>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02" t="s">
        <v>91</v>
      </c>
      <c r="D70" s="1102"/>
      <c r="E70" s="1102"/>
      <c r="F70" s="1102"/>
      <c r="G70" s="1102"/>
      <c r="H70" s="1102"/>
      <c r="I70" s="1102"/>
      <c r="J70" s="1102"/>
      <c r="K70" s="1102"/>
      <c r="L70" s="1102"/>
      <c r="M70" s="1102"/>
      <c r="N70" s="1102"/>
      <c r="O70" s="1102"/>
      <c r="P70" s="1102"/>
      <c r="Q70" s="1102"/>
      <c r="R70" s="1102"/>
      <c r="S70" s="1102"/>
      <c r="T70" s="1102"/>
      <c r="U70" s="1102"/>
      <c r="V70" s="1102"/>
      <c r="W70" s="1102"/>
      <c r="X70" s="1102"/>
      <c r="Y70" s="1102"/>
      <c r="Z70" s="1102"/>
      <c r="AC70" s="1280" t="str">
        <f>'PIM Model'!$AD$24</f>
        <v/>
      </c>
      <c r="AD70" s="1280"/>
      <c r="AE70" s="1280" t="str">
        <f>'PIM Model'!$D$24</f>
        <v>%</v>
      </c>
      <c r="AF70" s="1280"/>
      <c r="AG70" s="1280" t="str">
        <f>'PIM Model'!$D$24</f>
        <v>%</v>
      </c>
      <c r="AH70" s="1280"/>
      <c r="AI70" s="1277" t="str">
        <f>'PIM Model'!$D$24</f>
        <v>%</v>
      </c>
      <c r="AJ70" s="1277"/>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57"/>
    </row>
    <row r="71" spans="2:70" x14ac:dyDescent="0.25">
      <c r="B71" s="143"/>
      <c r="C71" s="1102" t="s">
        <v>90</v>
      </c>
      <c r="D71" s="1102"/>
      <c r="E71" s="1102"/>
      <c r="F71" s="1102"/>
      <c r="G71" s="1102"/>
      <c r="H71" s="1102"/>
      <c r="I71" s="1102"/>
      <c r="J71" s="1102"/>
      <c r="K71" s="1102"/>
      <c r="L71" s="1102"/>
      <c r="M71" s="1102"/>
      <c r="N71" s="1102"/>
      <c r="O71" s="1102"/>
      <c r="P71" s="1102"/>
      <c r="Q71" s="1102"/>
      <c r="R71" s="1102"/>
      <c r="S71" s="1102"/>
      <c r="T71" s="1102"/>
      <c r="U71" s="1102"/>
      <c r="V71" s="1102"/>
      <c r="W71" s="1102"/>
      <c r="X71" s="1102"/>
      <c r="Y71" s="1102"/>
      <c r="Z71" s="1102"/>
      <c r="AC71" s="1280" t="str">
        <f>'PIM Model'!$AD$25</f>
        <v/>
      </c>
      <c r="AD71" s="1280"/>
      <c r="AE71" s="1280" t="str">
        <f>'PIM Model'!$D$25</f>
        <v>%</v>
      </c>
      <c r="AF71" s="1280"/>
      <c r="AG71" s="1280" t="str">
        <f>'PIM Model'!$D$25</f>
        <v>%</v>
      </c>
      <c r="AH71" s="1280"/>
      <c r="AI71" s="1277" t="str">
        <f>'PIM Model'!$D$25</f>
        <v>%</v>
      </c>
      <c r="AJ71" s="1277"/>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57"/>
    </row>
    <row r="72" spans="2:70" x14ac:dyDescent="0.25">
      <c r="B72" s="143"/>
      <c r="C72" s="1102" t="s">
        <v>89</v>
      </c>
      <c r="D72" s="1102"/>
      <c r="E72" s="1102"/>
      <c r="F72" s="1102"/>
      <c r="G72" s="1102"/>
      <c r="H72" s="1102"/>
      <c r="I72" s="1102"/>
      <c r="J72" s="1102"/>
      <c r="K72" s="1102"/>
      <c r="L72" s="1102"/>
      <c r="M72" s="1102"/>
      <c r="N72" s="1102"/>
      <c r="O72" s="1102"/>
      <c r="P72" s="1102"/>
      <c r="Q72" s="1102"/>
      <c r="R72" s="1102"/>
      <c r="S72" s="1102"/>
      <c r="T72" s="1102"/>
      <c r="U72" s="1102"/>
      <c r="V72" s="1102"/>
      <c r="W72" s="1102"/>
      <c r="X72" s="1102"/>
      <c r="Y72" s="1102"/>
      <c r="Z72" s="1102"/>
      <c r="AC72" s="1280" t="str">
        <f>'PIM Model'!$AD$26</f>
        <v/>
      </c>
      <c r="AD72" s="1280"/>
      <c r="AE72" s="1280" t="str">
        <f>'PIM Model'!$D$26</f>
        <v>%</v>
      </c>
      <c r="AF72" s="1280"/>
      <c r="AG72" s="1280" t="str">
        <f>'PIM Model'!$D$26</f>
        <v>%</v>
      </c>
      <c r="AH72" s="1280"/>
      <c r="AI72" s="1277" t="str">
        <f>'PIM Model'!$D$26</f>
        <v>%</v>
      </c>
      <c r="AJ72" s="1277"/>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57"/>
    </row>
    <row r="73" spans="2:70" x14ac:dyDescent="0.25">
      <c r="B73" s="143"/>
      <c r="C73" s="1102" t="s">
        <v>88</v>
      </c>
      <c r="D73" s="1102"/>
      <c r="E73" s="1102"/>
      <c r="F73" s="1102"/>
      <c r="G73" s="1102"/>
      <c r="H73" s="1102"/>
      <c r="I73" s="1102"/>
      <c r="J73" s="1102"/>
      <c r="K73" s="1102"/>
      <c r="L73" s="1102"/>
      <c r="M73" s="1102"/>
      <c r="N73" s="1102"/>
      <c r="O73" s="1102"/>
      <c r="P73" s="1102"/>
      <c r="Q73" s="1102"/>
      <c r="R73" s="1102"/>
      <c r="S73" s="1102"/>
      <c r="T73" s="1102"/>
      <c r="U73" s="1102"/>
      <c r="V73" s="1102"/>
      <c r="W73" s="1102"/>
      <c r="X73" s="1102"/>
      <c r="Y73" s="1102"/>
      <c r="Z73" s="1102"/>
      <c r="AC73" s="1280" t="str">
        <f>'PIM Model'!$AD$29</f>
        <v/>
      </c>
      <c r="AD73" s="1280"/>
      <c r="AE73" s="1280" t="str">
        <f>'PIM Model'!$D$29</f>
        <v>%</v>
      </c>
      <c r="AF73" s="1280"/>
      <c r="AG73" s="1280" t="str">
        <f>'PIM Model'!$D$29</f>
        <v>%</v>
      </c>
      <c r="AH73" s="1280"/>
      <c r="AI73" s="1277" t="str">
        <f>'PIM Model'!$D$29</f>
        <v>%</v>
      </c>
      <c r="AJ73" s="1277"/>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57"/>
    </row>
    <row r="74" spans="2:70" x14ac:dyDescent="0.25">
      <c r="B74" s="143"/>
      <c r="C74" s="1102" t="s">
        <v>87</v>
      </c>
      <c r="D74" s="1102"/>
      <c r="E74" s="1102"/>
      <c r="F74" s="1102"/>
      <c r="G74" s="1102"/>
      <c r="H74" s="1102"/>
      <c r="I74" s="1102"/>
      <c r="J74" s="1102"/>
      <c r="K74" s="1102"/>
      <c r="L74" s="1102"/>
      <c r="M74" s="1102"/>
      <c r="N74" s="1102"/>
      <c r="O74" s="1102"/>
      <c r="P74" s="1102"/>
      <c r="Q74" s="1102"/>
      <c r="R74" s="1102"/>
      <c r="S74" s="1102"/>
      <c r="T74" s="1102"/>
      <c r="U74" s="1102"/>
      <c r="V74" s="1102"/>
      <c r="W74" s="1102"/>
      <c r="X74" s="1102"/>
      <c r="Y74" s="1102"/>
      <c r="Z74" s="1102"/>
      <c r="AC74" s="1280" t="str">
        <f>'PIM Model'!$AD$30</f>
        <v/>
      </c>
      <c r="AD74" s="1280"/>
      <c r="AE74" s="1280" t="str">
        <f>'PIM Model'!$D$30</f>
        <v>%</v>
      </c>
      <c r="AF74" s="1280"/>
      <c r="AG74" s="1280" t="str">
        <f>'PIM Model'!$D$30</f>
        <v>%</v>
      </c>
      <c r="AH74" s="1280"/>
      <c r="AI74" s="1277" t="str">
        <f>'PIM Model'!$D$30</f>
        <v>%</v>
      </c>
      <c r="AJ74" s="1277"/>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57"/>
    </row>
    <row r="75" spans="2:70" x14ac:dyDescent="0.25">
      <c r="B75" s="143"/>
      <c r="C75" s="1102" t="s">
        <v>86</v>
      </c>
      <c r="D75" s="1102"/>
      <c r="E75" s="1102"/>
      <c r="F75" s="1102"/>
      <c r="G75" s="1102"/>
      <c r="H75" s="1102"/>
      <c r="I75" s="1102"/>
      <c r="J75" s="1102"/>
      <c r="K75" s="1102"/>
      <c r="L75" s="1102"/>
      <c r="M75" s="1102"/>
      <c r="N75" s="1102"/>
      <c r="O75" s="1102"/>
      <c r="P75" s="1102"/>
      <c r="Q75" s="1102"/>
      <c r="R75" s="1102"/>
      <c r="S75" s="1102"/>
      <c r="T75" s="1102"/>
      <c r="U75" s="1102"/>
      <c r="V75" s="1102"/>
      <c r="W75" s="1102"/>
      <c r="X75" s="1102"/>
      <c r="Y75" s="1102"/>
      <c r="Z75" s="1102"/>
      <c r="AC75" s="1280" t="str">
        <f>'PIM Model'!$AD$28</f>
        <v/>
      </c>
      <c r="AD75" s="1280"/>
      <c r="AE75" s="1280" t="str">
        <f>'PIM Model'!$D$28</f>
        <v>%</v>
      </c>
      <c r="AF75" s="1280"/>
      <c r="AG75" s="1280" t="str">
        <f>'PIM Model'!$D$28</f>
        <v>%</v>
      </c>
      <c r="AH75" s="1280"/>
      <c r="AI75" s="1277" t="str">
        <f>'PIM Model'!$D$28</f>
        <v>%</v>
      </c>
      <c r="AJ75" s="1277"/>
      <c r="BF75" s="144"/>
    </row>
    <row r="76" spans="2:70" x14ac:dyDescent="0.25">
      <c r="B76" s="143"/>
      <c r="C76" s="1102" t="s">
        <v>105</v>
      </c>
      <c r="D76" s="1102"/>
      <c r="E76" s="1102"/>
      <c r="F76" s="1102"/>
      <c r="G76" s="1102"/>
      <c r="H76" s="1102"/>
      <c r="I76" s="1102"/>
      <c r="J76" s="1102"/>
      <c r="K76" s="1102"/>
      <c r="L76" s="1102"/>
      <c r="M76" s="1102"/>
      <c r="N76" s="1102"/>
      <c r="O76" s="1102"/>
      <c r="P76" s="1102"/>
      <c r="Q76" s="1102"/>
      <c r="R76" s="1102"/>
      <c r="S76" s="1102"/>
      <c r="T76" s="1102"/>
      <c r="U76" s="1102"/>
      <c r="V76" s="1102"/>
      <c r="W76" s="1102"/>
      <c r="X76" s="1102"/>
      <c r="Y76" s="1102"/>
      <c r="Z76" s="1102"/>
      <c r="AC76" s="1280" t="str">
        <f>'PIM Model'!$AD$22</f>
        <v/>
      </c>
      <c r="AD76" s="1280"/>
      <c r="AE76" s="1280" t="str">
        <f>'PIM Model'!$D$22</f>
        <v>%</v>
      </c>
      <c r="AF76" s="1280"/>
      <c r="AG76" s="1280" t="str">
        <f>'PIM Model'!$D$22</f>
        <v>%</v>
      </c>
      <c r="AH76" s="1280"/>
      <c r="AI76" s="1277" t="str">
        <f>'PIM Model'!$D$22</f>
        <v>%</v>
      </c>
      <c r="AJ76" s="1277"/>
      <c r="BF76" s="144"/>
    </row>
    <row r="77" spans="2:70" x14ac:dyDescent="0.25">
      <c r="B77" s="738"/>
      <c r="C77" s="1282" t="s">
        <v>757</v>
      </c>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C77" s="1280" t="str">
        <f>'PIM Model'!$AD$12</f>
        <v/>
      </c>
      <c r="AD77" s="1280"/>
      <c r="AE77" s="1280" t="str">
        <f>'PIM Model'!$D$12</f>
        <v>%</v>
      </c>
      <c r="AF77" s="1280"/>
      <c r="AG77" s="1280" t="str">
        <f>'PIM Model'!$D$12</f>
        <v>%</v>
      </c>
      <c r="AH77" s="1280"/>
      <c r="AI77" s="1277" t="str">
        <f>'PIM Model'!$D$12</f>
        <v>%</v>
      </c>
      <c r="AJ77" s="1277"/>
      <c r="BF77" s="144"/>
    </row>
    <row r="78" spans="2:70" x14ac:dyDescent="0.25">
      <c r="B78" s="143"/>
      <c r="C78" s="1282" t="s">
        <v>758</v>
      </c>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7" t="s">
        <v>722</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25">
      <c r="B82" s="143"/>
      <c r="D82" s="1278" t="s">
        <v>248</v>
      </c>
      <c r="E82" s="1278"/>
      <c r="F82" s="1277" t="s">
        <v>721</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25">
      <c r="B83" s="143"/>
      <c r="D83" s="1279"/>
      <c r="E83" s="1279"/>
      <c r="F83" s="1277" t="s">
        <v>720</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25">
      <c r="A84" s="308"/>
      <c r="B84" s="143"/>
      <c r="D84" s="1279"/>
      <c r="E84" s="1279"/>
      <c r="F84" s="1277" t="s">
        <v>719</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25">
      <c r="B85" s="143"/>
      <c r="BF85" s="144"/>
    </row>
    <row r="86" spans="1:70" x14ac:dyDescent="0.25">
      <c r="B86" s="143"/>
      <c r="D86" s="1277" t="s">
        <v>718</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25">
      <c r="B87" s="143"/>
      <c r="D87" s="1278" t="s">
        <v>248</v>
      </c>
      <c r="E87" s="1278"/>
      <c r="F87" s="1277" t="s">
        <v>717</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25">
      <c r="B88" s="143"/>
      <c r="D88" s="1279"/>
      <c r="E88" s="1279"/>
      <c r="F88" s="1277" t="s">
        <v>716</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93" t="s">
        <v>1054</v>
      </c>
      <c r="C92" s="1294"/>
      <c r="D92" s="1294"/>
      <c r="E92" s="1294"/>
      <c r="F92" s="1294"/>
      <c r="G92" s="1294"/>
      <c r="H92" s="1294"/>
      <c r="I92" s="1294"/>
      <c r="J92" s="1294"/>
      <c r="K92" s="1294"/>
      <c r="L92" s="1294"/>
      <c r="M92" s="1294"/>
      <c r="N92" s="1294"/>
      <c r="O92" s="1294"/>
      <c r="P92" s="1294"/>
      <c r="Q92" s="1294"/>
      <c r="R92" s="1294"/>
      <c r="S92" s="1294"/>
      <c r="T92" s="1294"/>
      <c r="U92" s="1294"/>
      <c r="V92" s="1294"/>
      <c r="W92" s="1294"/>
      <c r="X92" s="1294"/>
      <c r="Y92" s="1294"/>
      <c r="Z92" s="1294"/>
      <c r="AA92" s="1294"/>
      <c r="AB92" s="1294"/>
      <c r="AC92" s="1294"/>
      <c r="AD92" s="1294"/>
      <c r="AE92" s="1294"/>
      <c r="AF92" s="1294"/>
      <c r="AG92" s="1294"/>
      <c r="AH92" s="1294"/>
      <c r="AI92" s="1294"/>
      <c r="AJ92" s="1294"/>
      <c r="AK92" s="1294"/>
      <c r="AL92" s="1294"/>
      <c r="AM92" s="1294"/>
      <c r="AN92" s="1294"/>
      <c r="AO92" s="1294"/>
      <c r="AP92" s="1294"/>
      <c r="AQ92" s="1294"/>
      <c r="AR92" s="1294"/>
      <c r="AS92" s="1294"/>
      <c r="AT92" s="1294"/>
      <c r="AU92" s="1294"/>
      <c r="AV92" s="1294"/>
      <c r="AW92" s="1294"/>
      <c r="AX92" s="1294"/>
      <c r="AY92" s="1294"/>
      <c r="AZ92" s="1294"/>
      <c r="BA92" s="1294"/>
      <c r="BB92" s="1294"/>
      <c r="BC92" s="1294"/>
      <c r="BD92" s="1294"/>
      <c r="BE92" s="1294"/>
      <c r="BF92" s="1295"/>
    </row>
    <row r="93" spans="1:70" ht="15.75" thickBot="1" x14ac:dyDescent="0.3">
      <c r="B93" s="143"/>
      <c r="BF93" s="144"/>
      <c r="BR93" s="301"/>
    </row>
    <row r="94" spans="1:70" ht="15.75" thickBot="1" x14ac:dyDescent="0.3">
      <c r="B94" s="143"/>
      <c r="D94" s="1307" t="s">
        <v>765</v>
      </c>
      <c r="E94" s="1308"/>
      <c r="F94" s="1308"/>
      <c r="G94" s="1308"/>
      <c r="H94" s="1308"/>
      <c r="I94" s="1308"/>
      <c r="J94" s="1308"/>
      <c r="K94" s="1314" t="s">
        <v>766</v>
      </c>
      <c r="L94" s="1308"/>
      <c r="M94" s="1308"/>
      <c r="N94" s="1308"/>
      <c r="O94" s="1308"/>
      <c r="P94" s="1308"/>
      <c r="Q94" s="1308"/>
      <c r="R94" s="1308"/>
      <c r="S94" s="1308"/>
      <c r="T94" s="1308"/>
      <c r="U94" s="1314" t="s">
        <v>826</v>
      </c>
      <c r="V94" s="1308"/>
      <c r="W94" s="1308"/>
      <c r="X94" s="1308"/>
      <c r="Y94" s="1308"/>
      <c r="Z94" s="1308"/>
      <c r="AA94" s="1308"/>
      <c r="AB94" s="1308"/>
      <c r="AC94" s="1308"/>
      <c r="AD94" s="1308"/>
      <c r="AE94" s="1308"/>
      <c r="AF94" s="1308"/>
      <c r="AG94" s="1308"/>
      <c r="AH94" s="1308"/>
      <c r="AI94" s="1308"/>
      <c r="AJ94" s="1314" t="s">
        <v>831</v>
      </c>
      <c r="AK94" s="1308"/>
      <c r="AL94" s="1308"/>
      <c r="AM94" s="1308"/>
      <c r="AN94" s="1308"/>
      <c r="AO94" s="1308"/>
      <c r="AP94" s="1308"/>
      <c r="AQ94" s="1308"/>
      <c r="AR94" s="1308"/>
      <c r="AS94" s="1308"/>
      <c r="AT94" s="1326"/>
      <c r="AU94" s="1314" t="s">
        <v>832</v>
      </c>
      <c r="AV94" s="1308"/>
      <c r="AW94" s="1308"/>
      <c r="AX94" s="1326"/>
      <c r="AY94" s="1314" t="s">
        <v>878</v>
      </c>
      <c r="AZ94" s="1308"/>
      <c r="BA94" s="1308"/>
      <c r="BB94" s="1308"/>
      <c r="BC94" s="1336"/>
      <c r="BF94" s="144"/>
    </row>
    <row r="95" spans="1:70" x14ac:dyDescent="0.25">
      <c r="B95" s="143"/>
      <c r="C95" s="689">
        <v>1</v>
      </c>
      <c r="D95" s="1306">
        <f>'Customer Inputs'!$B$6</f>
        <v>0</v>
      </c>
      <c r="E95" s="1306"/>
      <c r="F95" s="1306"/>
      <c r="G95" s="1306"/>
      <c r="H95" s="1306"/>
      <c r="I95" s="1306"/>
      <c r="J95" s="1306"/>
      <c r="K95" s="1262">
        <f>IFERROR(IFERROR('Multi-Customer'!$AU$37,VLOOKUP($D95,'Required Info to Submit'!$E$20:$J$29,2,FALSE)),"")</f>
        <v>0</v>
      </c>
      <c r="L95" s="1262"/>
      <c r="M95" s="1262"/>
      <c r="N95" s="1262"/>
      <c r="O95" s="1262"/>
      <c r="P95" s="1262"/>
      <c r="Q95" s="1262"/>
      <c r="R95" s="1262"/>
      <c r="S95" s="1262"/>
      <c r="T95" s="1262"/>
      <c r="U95" s="1262" t="str">
        <f>IFERROR(IFERROR('Multi-Customer'!$AU$39&amp;" "&amp;'Multi-Customer'!$AU$40,VLOOKUP($D95,'Required Info to Submit'!$E$20:$J$29,3,FALSE)),"")</f>
        <v>0 0</v>
      </c>
      <c r="V95" s="1262"/>
      <c r="W95" s="1262"/>
      <c r="X95" s="1262"/>
      <c r="Y95" s="1262"/>
      <c r="Z95" s="1262"/>
      <c r="AA95" s="1262"/>
      <c r="AB95" s="1262"/>
      <c r="AC95" s="1262"/>
      <c r="AD95" s="1262"/>
      <c r="AE95" s="1262"/>
      <c r="AF95" s="1262"/>
      <c r="AG95" s="1262"/>
      <c r="AH95" s="1262"/>
      <c r="AI95" s="1262"/>
      <c r="AJ95" s="1323">
        <f>IFERROR(IFERROR('Multi-Customer'!$AU$41,VLOOKUP($D95,'Required Info to Submit'!$E$20:$J$29,4,FALSE)),"")</f>
        <v>0</v>
      </c>
      <c r="AK95" s="1324"/>
      <c r="AL95" s="1324"/>
      <c r="AM95" s="1324"/>
      <c r="AN95" s="1324"/>
      <c r="AO95" s="1324"/>
      <c r="AP95" s="1324"/>
      <c r="AQ95" s="1324"/>
      <c r="AR95" s="1324"/>
      <c r="AS95" s="1324"/>
      <c r="AT95" s="1325"/>
      <c r="AU95" s="1327">
        <f>IFERROR(IFERROR('Multi-Customer'!$AU$42,VLOOKUP($D95,'Required Info to Submit'!$E$20:$J$29,5,FALSE)),"")</f>
        <v>0</v>
      </c>
      <c r="AV95" s="1328"/>
      <c r="AW95" s="1328"/>
      <c r="AX95" s="1329"/>
      <c r="AY95" s="1333">
        <f>IFERROR(IFERROR('Multi-Customer'!$AU$43,VLOOKUP($D95,'Required Info to Submit'!$E$20:$J$29,6,FALSE)),"")</f>
        <v>0</v>
      </c>
      <c r="AZ95" s="1334"/>
      <c r="BA95" s="1334"/>
      <c r="BB95" s="1334"/>
      <c r="BC95" s="1335"/>
      <c r="BF95" s="144"/>
    </row>
    <row r="96" spans="1:70" x14ac:dyDescent="0.25">
      <c r="B96" s="143"/>
      <c r="C96" s="690">
        <v>2</v>
      </c>
      <c r="D96" s="1305">
        <f>'Customer Inputs'!$B$7</f>
        <v>0</v>
      </c>
      <c r="E96" s="1305"/>
      <c r="F96" s="1305"/>
      <c r="G96" s="1305"/>
      <c r="H96" s="1305"/>
      <c r="I96" s="1305"/>
      <c r="J96" s="1305"/>
      <c r="K96" s="1249">
        <f>IFERROR(IFERROR('Multi-Customer'!$BD$37,VLOOKUP($D96,'Required Info to Submit'!$E$20:$J$29,2,FALSE)),"")</f>
        <v>0</v>
      </c>
      <c r="L96" s="1249"/>
      <c r="M96" s="1249"/>
      <c r="N96" s="1249"/>
      <c r="O96" s="1249"/>
      <c r="P96" s="1249"/>
      <c r="Q96" s="1249"/>
      <c r="R96" s="1249"/>
      <c r="S96" s="1249"/>
      <c r="T96" s="1249"/>
      <c r="U96" s="1249" t="str">
        <f>IFERROR(IFERROR('Multi-Customer'!$BD$39&amp;" "&amp;'Multi-Customer'!$BD$40,VLOOKUP($D96,'Required Info to Submit'!$E$20:$J$29,3,FALSE)),"")</f>
        <v>0 0</v>
      </c>
      <c r="V96" s="1249"/>
      <c r="W96" s="1249"/>
      <c r="X96" s="1249"/>
      <c r="Y96" s="1249"/>
      <c r="Z96" s="1249"/>
      <c r="AA96" s="1249"/>
      <c r="AB96" s="1249"/>
      <c r="AC96" s="1249"/>
      <c r="AD96" s="1249"/>
      <c r="AE96" s="1249"/>
      <c r="AF96" s="1249"/>
      <c r="AG96" s="1249"/>
      <c r="AH96" s="1249"/>
      <c r="AI96" s="1249"/>
      <c r="AJ96" s="1320">
        <f>IFERROR(IFERROR('Multi-Customer'!$BD$41,VLOOKUP($D96,'Required Info to Submit'!$E$20:$J$29,4,FALSE)),"")</f>
        <v>0</v>
      </c>
      <c r="AK96" s="1321"/>
      <c r="AL96" s="1321"/>
      <c r="AM96" s="1321"/>
      <c r="AN96" s="1321"/>
      <c r="AO96" s="1321"/>
      <c r="AP96" s="1321"/>
      <c r="AQ96" s="1321"/>
      <c r="AR96" s="1321"/>
      <c r="AS96" s="1321"/>
      <c r="AT96" s="1322"/>
      <c r="AU96" s="1169">
        <f>IFERROR(IFERROR('Multi-Customer'!$BD$42,VLOOKUP($D96,'Required Info to Submit'!$E$20:$J$29,5,FALSE)),"")</f>
        <v>0</v>
      </c>
      <c r="AV96" s="1170"/>
      <c r="AW96" s="1170"/>
      <c r="AX96" s="1171"/>
      <c r="AY96" s="1240">
        <f>IFERROR(IFERROR('Multi-Customer'!$BD$43,VLOOKUP($D96,'Required Info to Submit'!$E$20:$J$29,6,FALSE)),"")</f>
        <v>0</v>
      </c>
      <c r="AZ96" s="1241"/>
      <c r="BA96" s="1241"/>
      <c r="BB96" s="1241"/>
      <c r="BC96" s="1242"/>
      <c r="BF96" s="144"/>
    </row>
    <row r="97" spans="2:58" x14ac:dyDescent="0.25">
      <c r="B97" s="143"/>
      <c r="C97" s="690">
        <v>3</v>
      </c>
      <c r="D97" s="1305">
        <f>'Customer Inputs'!$B$8</f>
        <v>0</v>
      </c>
      <c r="E97" s="1305"/>
      <c r="F97" s="1305"/>
      <c r="G97" s="1305"/>
      <c r="H97" s="1305"/>
      <c r="I97" s="1305"/>
      <c r="J97" s="1305"/>
      <c r="K97" s="1249">
        <f>IFERROR(IFERROR('Multi-Customer'!$BM$37,VLOOKUP($D97,'Required Info to Submit'!$E$20:$J$29,2,FALSE)),"")</f>
        <v>0</v>
      </c>
      <c r="L97" s="1249"/>
      <c r="M97" s="1249"/>
      <c r="N97" s="1249"/>
      <c r="O97" s="1249"/>
      <c r="P97" s="1249"/>
      <c r="Q97" s="1249"/>
      <c r="R97" s="1249"/>
      <c r="S97" s="1249"/>
      <c r="T97" s="1249"/>
      <c r="U97" s="1249" t="str">
        <f>IFERROR(IFERROR('Multi-Customer'!$BM$39&amp;" "&amp;'Multi-Customer'!$BM$40,VLOOKUP($D97,'Required Info to Submit'!$E$20:$J$29,3,FALSE)),"")</f>
        <v>0 0</v>
      </c>
      <c r="V97" s="1249"/>
      <c r="W97" s="1249"/>
      <c r="X97" s="1249"/>
      <c r="Y97" s="1249"/>
      <c r="Z97" s="1249"/>
      <c r="AA97" s="1249"/>
      <c r="AB97" s="1249"/>
      <c r="AC97" s="1249"/>
      <c r="AD97" s="1249"/>
      <c r="AE97" s="1249"/>
      <c r="AF97" s="1249"/>
      <c r="AG97" s="1249"/>
      <c r="AH97" s="1249"/>
      <c r="AI97" s="1249"/>
      <c r="AJ97" s="1320">
        <f>IFERROR(IFERROR('Multi-Customer'!$BM$41,VLOOKUP($D97,'Required Info to Submit'!$E$20:$J$29,4,FALSE)),"")</f>
        <v>0</v>
      </c>
      <c r="AK97" s="1321"/>
      <c r="AL97" s="1321"/>
      <c r="AM97" s="1321"/>
      <c r="AN97" s="1321"/>
      <c r="AO97" s="1321"/>
      <c r="AP97" s="1321"/>
      <c r="AQ97" s="1321"/>
      <c r="AR97" s="1321"/>
      <c r="AS97" s="1321"/>
      <c r="AT97" s="1322"/>
      <c r="AU97" s="1169">
        <f>IFERROR(IFERROR('Multi-Customer'!$BM$42,VLOOKUP($D97,'Required Info to Submit'!$E$20:$J$29,5,FALSE)),"")</f>
        <v>0</v>
      </c>
      <c r="AV97" s="1170"/>
      <c r="AW97" s="1170"/>
      <c r="AX97" s="1171"/>
      <c r="AY97" s="1240">
        <f>IFERROR(IFERROR('Multi-Customer'!$BM$43,VLOOKUP($D97,'Required Info to Submit'!$E$20:$J$29,6,FALSE)),"")</f>
        <v>0</v>
      </c>
      <c r="AZ97" s="1241"/>
      <c r="BA97" s="1241"/>
      <c r="BB97" s="1241"/>
      <c r="BC97" s="1242"/>
      <c r="BF97" s="144"/>
    </row>
    <row r="98" spans="2:58" x14ac:dyDescent="0.25">
      <c r="B98" s="143"/>
      <c r="C98" s="690">
        <v>4</v>
      </c>
      <c r="D98" s="1305">
        <f>'Customer Inputs'!$B$9</f>
        <v>0</v>
      </c>
      <c r="E98" s="1305"/>
      <c r="F98" s="1305"/>
      <c r="G98" s="1305"/>
      <c r="H98" s="1305"/>
      <c r="I98" s="1305"/>
      <c r="J98" s="1305"/>
      <c r="K98" s="1249">
        <f>IFERROR(IFERROR('Multi-Customer'!$BV$37,VLOOKUP($D98,'Required Info to Submit'!$E$20:$J$29,2,FALSE)),"")</f>
        <v>0</v>
      </c>
      <c r="L98" s="1249"/>
      <c r="M98" s="1249"/>
      <c r="N98" s="1249"/>
      <c r="O98" s="1249"/>
      <c r="P98" s="1249"/>
      <c r="Q98" s="1249"/>
      <c r="R98" s="1249"/>
      <c r="S98" s="1249"/>
      <c r="T98" s="1249"/>
      <c r="U98" s="1249" t="str">
        <f>IFERROR(IFERROR('Multi-Customer'!$BV$39&amp;" "&amp;'Multi-Customer'!$BV$40,VLOOKUP($D98,'Required Info to Submit'!$E$20:$J$29,3,FALSE)),"")</f>
        <v>0 0</v>
      </c>
      <c r="V98" s="1249"/>
      <c r="W98" s="1249"/>
      <c r="X98" s="1249"/>
      <c r="Y98" s="1249"/>
      <c r="Z98" s="1249"/>
      <c r="AA98" s="1249"/>
      <c r="AB98" s="1249"/>
      <c r="AC98" s="1249"/>
      <c r="AD98" s="1249"/>
      <c r="AE98" s="1249"/>
      <c r="AF98" s="1249"/>
      <c r="AG98" s="1249"/>
      <c r="AH98" s="1249"/>
      <c r="AI98" s="1249"/>
      <c r="AJ98" s="1320">
        <f>IFERROR(IFERROR('Multi-Customer'!$BV$41,VLOOKUP($D98,'Required Info to Submit'!$E$20:$J$29,4,FALSE)),"")</f>
        <v>0</v>
      </c>
      <c r="AK98" s="1321"/>
      <c r="AL98" s="1321"/>
      <c r="AM98" s="1321"/>
      <c r="AN98" s="1321"/>
      <c r="AO98" s="1321"/>
      <c r="AP98" s="1321"/>
      <c r="AQ98" s="1321"/>
      <c r="AR98" s="1321"/>
      <c r="AS98" s="1321"/>
      <c r="AT98" s="1322"/>
      <c r="AU98" s="1169">
        <f>IFERROR(IFERROR('Multi-Customer'!$BV$42,VLOOKUP($D98,'Required Info to Submit'!$E$20:$J$29,5,FALSE)),"")</f>
        <v>0</v>
      </c>
      <c r="AV98" s="1170"/>
      <c r="AW98" s="1170"/>
      <c r="AX98" s="1171"/>
      <c r="AY98" s="1240">
        <f>IFERROR(IFERROR('Multi-Customer'!$BV$43,VLOOKUP($D98,'Required Info to Submit'!$E$20:$J$29,6,FALSE)),"")</f>
        <v>0</v>
      </c>
      <c r="AZ98" s="1241"/>
      <c r="BA98" s="1241"/>
      <c r="BB98" s="1241"/>
      <c r="BC98" s="1242"/>
      <c r="BF98" s="144"/>
    </row>
    <row r="99" spans="2:58" x14ac:dyDescent="0.25">
      <c r="B99" s="143"/>
      <c r="C99" s="690">
        <v>5</v>
      </c>
      <c r="D99" s="1305">
        <f>'Customer Inputs'!$B$10</f>
        <v>0</v>
      </c>
      <c r="E99" s="1305"/>
      <c r="F99" s="1305"/>
      <c r="G99" s="1305"/>
      <c r="H99" s="1305"/>
      <c r="I99" s="1305"/>
      <c r="J99" s="1305"/>
      <c r="K99" s="1249">
        <f>IFERROR(IFERROR('Multi-Customer'!$CE$37,VLOOKUP($D99,'Required Info to Submit'!$E$20:$J$29,2,FALSE)),"")</f>
        <v>0</v>
      </c>
      <c r="L99" s="1249"/>
      <c r="M99" s="1249"/>
      <c r="N99" s="1249"/>
      <c r="O99" s="1249"/>
      <c r="P99" s="1249"/>
      <c r="Q99" s="1249"/>
      <c r="R99" s="1249"/>
      <c r="S99" s="1249"/>
      <c r="T99" s="1249"/>
      <c r="U99" s="1249" t="str">
        <f>IFERROR(IFERROR('Multi-Customer'!$CE$39&amp;" "&amp;'Multi-Customer'!$CE$40,VLOOKUP($D99,'Required Info to Submit'!$E$20:$J$29,3,FALSE)),"")</f>
        <v>0 0</v>
      </c>
      <c r="V99" s="1249"/>
      <c r="W99" s="1249"/>
      <c r="X99" s="1249"/>
      <c r="Y99" s="1249"/>
      <c r="Z99" s="1249"/>
      <c r="AA99" s="1249"/>
      <c r="AB99" s="1249"/>
      <c r="AC99" s="1249"/>
      <c r="AD99" s="1249"/>
      <c r="AE99" s="1249"/>
      <c r="AF99" s="1249"/>
      <c r="AG99" s="1249"/>
      <c r="AH99" s="1249"/>
      <c r="AI99" s="1249"/>
      <c r="AJ99" s="1320">
        <f>IFERROR(IFERROR('Multi-Customer'!$CE$41,VLOOKUP($D99,'Required Info to Submit'!$E$20:$J$29,4,FALSE)),"")</f>
        <v>0</v>
      </c>
      <c r="AK99" s="1321"/>
      <c r="AL99" s="1321"/>
      <c r="AM99" s="1321"/>
      <c r="AN99" s="1321"/>
      <c r="AO99" s="1321"/>
      <c r="AP99" s="1321"/>
      <c r="AQ99" s="1321"/>
      <c r="AR99" s="1321"/>
      <c r="AS99" s="1321"/>
      <c r="AT99" s="1322"/>
      <c r="AU99" s="1169">
        <f>IFERROR(IFERROR('Multi-Customer'!$CE$42,VLOOKUP($D99,'Required Info to Submit'!$E$20:$J$29,5,FALSE)),"")</f>
        <v>0</v>
      </c>
      <c r="AV99" s="1170"/>
      <c r="AW99" s="1170"/>
      <c r="AX99" s="1171"/>
      <c r="AY99" s="1240">
        <f>IFERROR(IFERROR('Multi-Customer'!$CE$43,VLOOKUP($D99,'Required Info to Submit'!$E$20:$J$29,6,FALSE)),"")</f>
        <v>0</v>
      </c>
      <c r="AZ99" s="1241"/>
      <c r="BA99" s="1241"/>
      <c r="BB99" s="1241"/>
      <c r="BC99" s="1242"/>
      <c r="BF99" s="144"/>
    </row>
    <row r="100" spans="2:58" x14ac:dyDescent="0.25">
      <c r="B100" s="143"/>
      <c r="C100" s="690">
        <v>6</v>
      </c>
      <c r="D100" s="1305">
        <f>'Customer Inputs'!$B$11</f>
        <v>0</v>
      </c>
      <c r="E100" s="1305"/>
      <c r="F100" s="1305"/>
      <c r="G100" s="1305"/>
      <c r="H100" s="1305"/>
      <c r="I100" s="1305"/>
      <c r="J100" s="1305"/>
      <c r="K100" s="1249">
        <f>IFERROR(IFERROR('Multi-Customer'!$CN$37,VLOOKUP($D100,'Required Info to Submit'!$E$20:$J$29,2,FALSE)),"")</f>
        <v>0</v>
      </c>
      <c r="L100" s="1249"/>
      <c r="M100" s="1249"/>
      <c r="N100" s="1249"/>
      <c r="O100" s="1249"/>
      <c r="P100" s="1249"/>
      <c r="Q100" s="1249"/>
      <c r="R100" s="1249"/>
      <c r="S100" s="1249"/>
      <c r="T100" s="1249"/>
      <c r="U100" s="1249" t="str">
        <f>IFERROR(IFERROR('Multi-Customer'!$CN$39&amp;" "&amp;'Multi-Customer'!$CN$40,VLOOKUP($D100,'Required Info to Submit'!$E$20:$J$29,3,FALSE)),"")</f>
        <v>0 0</v>
      </c>
      <c r="V100" s="1249"/>
      <c r="W100" s="1249"/>
      <c r="X100" s="1249"/>
      <c r="Y100" s="1249"/>
      <c r="Z100" s="1249"/>
      <c r="AA100" s="1249"/>
      <c r="AB100" s="1249"/>
      <c r="AC100" s="1249"/>
      <c r="AD100" s="1249"/>
      <c r="AE100" s="1249"/>
      <c r="AF100" s="1249"/>
      <c r="AG100" s="1249"/>
      <c r="AH100" s="1249"/>
      <c r="AI100" s="1249"/>
      <c r="AJ100" s="1320">
        <f>IFERROR(IFERROR('Multi-Customer'!$CN$41,VLOOKUP($D100,'Required Info to Submit'!$E$20:$J$29,4,FALSE)),"")</f>
        <v>0</v>
      </c>
      <c r="AK100" s="1321"/>
      <c r="AL100" s="1321"/>
      <c r="AM100" s="1321"/>
      <c r="AN100" s="1321"/>
      <c r="AO100" s="1321"/>
      <c r="AP100" s="1321"/>
      <c r="AQ100" s="1321"/>
      <c r="AR100" s="1321"/>
      <c r="AS100" s="1321"/>
      <c r="AT100" s="1322"/>
      <c r="AU100" s="1169">
        <f>IFERROR(IFERROR('Multi-Customer'!$CN$42,VLOOKUP($D100,'Required Info to Submit'!$E$20:$J$29,5,FALSE)),"")</f>
        <v>0</v>
      </c>
      <c r="AV100" s="1170"/>
      <c r="AW100" s="1170"/>
      <c r="AX100" s="1171"/>
      <c r="AY100" s="1240">
        <f>IFERROR(IFERROR('Multi-Customer'!$CN$43,VLOOKUP($D100,'Required Info to Submit'!$E$20:$J$29,6,FALSE)),"")</f>
        <v>0</v>
      </c>
      <c r="AZ100" s="1241"/>
      <c r="BA100" s="1241"/>
      <c r="BB100" s="1241"/>
      <c r="BC100" s="1242"/>
      <c r="BF100" s="144"/>
    </row>
    <row r="101" spans="2:58" x14ac:dyDescent="0.25">
      <c r="B101" s="143"/>
      <c r="C101" s="690">
        <v>7</v>
      </c>
      <c r="D101" s="1305">
        <f>'Customer Inputs'!$B$12</f>
        <v>0</v>
      </c>
      <c r="E101" s="1305"/>
      <c r="F101" s="1305"/>
      <c r="G101" s="1305"/>
      <c r="H101" s="1305"/>
      <c r="I101" s="1305"/>
      <c r="J101" s="1305"/>
      <c r="K101" s="1249">
        <f>IFERROR(IFERROR('Multi-Customer'!$CW$37,VLOOKUP($D101,'Required Info to Submit'!$E$20:$J$29,2,FALSE)),"")</f>
        <v>0</v>
      </c>
      <c r="L101" s="1249"/>
      <c r="M101" s="1249"/>
      <c r="N101" s="1249"/>
      <c r="O101" s="1249"/>
      <c r="P101" s="1249"/>
      <c r="Q101" s="1249"/>
      <c r="R101" s="1249"/>
      <c r="S101" s="1249"/>
      <c r="T101" s="1249"/>
      <c r="U101" s="1249" t="str">
        <f>IFERROR(IFERROR('Multi-Customer'!$CW$39&amp;" "&amp;'Multi-Customer'!$CW$40,VLOOKUP($D101,'Required Info to Submit'!$E$20:$J$29,3,FALSE)),"")</f>
        <v>0 0</v>
      </c>
      <c r="V101" s="1249"/>
      <c r="W101" s="1249"/>
      <c r="X101" s="1249"/>
      <c r="Y101" s="1249"/>
      <c r="Z101" s="1249"/>
      <c r="AA101" s="1249"/>
      <c r="AB101" s="1249"/>
      <c r="AC101" s="1249"/>
      <c r="AD101" s="1249"/>
      <c r="AE101" s="1249"/>
      <c r="AF101" s="1249"/>
      <c r="AG101" s="1249"/>
      <c r="AH101" s="1249"/>
      <c r="AI101" s="1249"/>
      <c r="AJ101" s="1320">
        <f>IFERROR(IFERROR('Multi-Customer'!$CW$41,VLOOKUP($D101,'Required Info to Submit'!$E$20:$J$29,4,FALSE)),"")</f>
        <v>0</v>
      </c>
      <c r="AK101" s="1321"/>
      <c r="AL101" s="1321"/>
      <c r="AM101" s="1321"/>
      <c r="AN101" s="1321"/>
      <c r="AO101" s="1321"/>
      <c r="AP101" s="1321"/>
      <c r="AQ101" s="1321"/>
      <c r="AR101" s="1321"/>
      <c r="AS101" s="1321"/>
      <c r="AT101" s="1322"/>
      <c r="AU101" s="1169">
        <f>IFERROR(IFERROR('Multi-Customer'!$CW$42,VLOOKUP($D101,'Required Info to Submit'!$E$20:$J$29,5,FALSE)),"")</f>
        <v>0</v>
      </c>
      <c r="AV101" s="1170"/>
      <c r="AW101" s="1170"/>
      <c r="AX101" s="1171"/>
      <c r="AY101" s="1240">
        <f>IFERROR(IFERROR('Multi-Customer'!$CW$43,VLOOKUP($D101,'Required Info to Submit'!$E$20:$J$29,6,FALSE)),"")</f>
        <v>0</v>
      </c>
      <c r="AZ101" s="1241"/>
      <c r="BA101" s="1241"/>
      <c r="BB101" s="1241"/>
      <c r="BC101" s="1242"/>
      <c r="BF101" s="144"/>
    </row>
    <row r="102" spans="2:58" x14ac:dyDescent="0.25">
      <c r="B102" s="143"/>
      <c r="C102" s="690">
        <v>8</v>
      </c>
      <c r="D102" s="1305">
        <f>'Customer Inputs'!$B$13</f>
        <v>0</v>
      </c>
      <c r="E102" s="1305"/>
      <c r="F102" s="1305"/>
      <c r="G102" s="1305"/>
      <c r="H102" s="1305"/>
      <c r="I102" s="1305"/>
      <c r="J102" s="1305"/>
      <c r="K102" s="1249">
        <f>IFERROR(IFERROR('Multi-Customer'!$DF$37,VLOOKUP($D102,'Required Info to Submit'!$E$20:$J$29,2,FALSE)),"")</f>
        <v>0</v>
      </c>
      <c r="L102" s="1249"/>
      <c r="M102" s="1249"/>
      <c r="N102" s="1249"/>
      <c r="O102" s="1249"/>
      <c r="P102" s="1249"/>
      <c r="Q102" s="1249"/>
      <c r="R102" s="1249"/>
      <c r="S102" s="1249"/>
      <c r="T102" s="1249"/>
      <c r="U102" s="1249" t="str">
        <f>IFERROR(IFERROR('Multi-Customer'!$DF$39&amp;" "&amp;'Multi-Customer'!$DF$40,VLOOKUP($D102,'Required Info to Submit'!$E$20:$J$29,3,FALSE)),"")</f>
        <v>0 0</v>
      </c>
      <c r="V102" s="1249"/>
      <c r="W102" s="1249"/>
      <c r="X102" s="1249"/>
      <c r="Y102" s="1249"/>
      <c r="Z102" s="1249"/>
      <c r="AA102" s="1249"/>
      <c r="AB102" s="1249"/>
      <c r="AC102" s="1249"/>
      <c r="AD102" s="1249"/>
      <c r="AE102" s="1249"/>
      <c r="AF102" s="1249"/>
      <c r="AG102" s="1249"/>
      <c r="AH102" s="1249"/>
      <c r="AI102" s="1249"/>
      <c r="AJ102" s="1320">
        <f>IFERROR(IFERROR('Multi-Customer'!$DF$41,VLOOKUP($D102,'Required Info to Submit'!$E$20:$J$29,4,FALSE)),"")</f>
        <v>0</v>
      </c>
      <c r="AK102" s="1321"/>
      <c r="AL102" s="1321"/>
      <c r="AM102" s="1321"/>
      <c r="AN102" s="1321"/>
      <c r="AO102" s="1321"/>
      <c r="AP102" s="1321"/>
      <c r="AQ102" s="1321"/>
      <c r="AR102" s="1321"/>
      <c r="AS102" s="1321"/>
      <c r="AT102" s="1322"/>
      <c r="AU102" s="1169">
        <f>IFERROR(IFERROR('Multi-Customer'!$DF$42,VLOOKUP($D102,'Required Info to Submit'!$E$20:$J$29,5,FALSE)),"")</f>
        <v>0</v>
      </c>
      <c r="AV102" s="1170"/>
      <c r="AW102" s="1170"/>
      <c r="AX102" s="1171"/>
      <c r="AY102" s="1240">
        <f>IFERROR(IFERROR('Multi-Customer'!$DF$43,VLOOKUP($D102,'Required Info to Submit'!$E$20:$J$29,6,FALSE)),"")</f>
        <v>0</v>
      </c>
      <c r="AZ102" s="1241"/>
      <c r="BA102" s="1241"/>
      <c r="BB102" s="1241"/>
      <c r="BC102" s="1242"/>
      <c r="BF102" s="144"/>
    </row>
    <row r="103" spans="2:58" x14ac:dyDescent="0.25">
      <c r="B103" s="143"/>
      <c r="C103" s="690">
        <v>9</v>
      </c>
      <c r="D103" s="1305">
        <f>'Customer Inputs'!$B$14</f>
        <v>0</v>
      </c>
      <c r="E103" s="1305"/>
      <c r="F103" s="1305"/>
      <c r="G103" s="1305"/>
      <c r="H103" s="1305"/>
      <c r="I103" s="1305"/>
      <c r="J103" s="1305"/>
      <c r="K103" s="1249">
        <f>IFERROR(IFERROR('Multi-Customer'!$DO$37,VLOOKUP($D103,'Required Info to Submit'!$E$20:$J$29,2,FALSE)),"")</f>
        <v>0</v>
      </c>
      <c r="L103" s="1249"/>
      <c r="M103" s="1249"/>
      <c r="N103" s="1249"/>
      <c r="O103" s="1249"/>
      <c r="P103" s="1249"/>
      <c r="Q103" s="1249"/>
      <c r="R103" s="1249"/>
      <c r="S103" s="1249"/>
      <c r="T103" s="1249"/>
      <c r="U103" s="1249" t="str">
        <f>IFERROR(IFERROR('Multi-Customer'!$DO$39&amp;" "&amp;'Multi-Customer'!$DO$40,VLOOKUP($D103,'Required Info to Submit'!$E$20:$J$29,3,FALSE)),"")</f>
        <v>0 0</v>
      </c>
      <c r="V103" s="1249"/>
      <c r="W103" s="1249"/>
      <c r="X103" s="1249"/>
      <c r="Y103" s="1249"/>
      <c r="Z103" s="1249"/>
      <c r="AA103" s="1249"/>
      <c r="AB103" s="1249"/>
      <c r="AC103" s="1249"/>
      <c r="AD103" s="1249"/>
      <c r="AE103" s="1249"/>
      <c r="AF103" s="1249"/>
      <c r="AG103" s="1249"/>
      <c r="AH103" s="1249"/>
      <c r="AI103" s="1249"/>
      <c r="AJ103" s="1320">
        <f>IFERROR(IFERROR('Multi-Customer'!$DO$41,VLOOKUP($D103,'Required Info to Submit'!$E$20:$J$29,4,FALSE)),"")</f>
        <v>0</v>
      </c>
      <c r="AK103" s="1321"/>
      <c r="AL103" s="1321"/>
      <c r="AM103" s="1321"/>
      <c r="AN103" s="1321"/>
      <c r="AO103" s="1321"/>
      <c r="AP103" s="1321"/>
      <c r="AQ103" s="1321"/>
      <c r="AR103" s="1321"/>
      <c r="AS103" s="1321"/>
      <c r="AT103" s="1322"/>
      <c r="AU103" s="1169">
        <f>IFERROR(IFERROR('Multi-Customer'!$DO$42,VLOOKUP($D103,'Required Info to Submit'!$E$20:$J$29,5,FALSE)),"")</f>
        <v>0</v>
      </c>
      <c r="AV103" s="1170"/>
      <c r="AW103" s="1170"/>
      <c r="AX103" s="1171"/>
      <c r="AY103" s="1240">
        <f>IFERROR(IFERROR('Multi-Customer'!$DO$43,VLOOKUP($D103,'Required Info to Submit'!$E$20:$J$29,6,FALSE)),"")</f>
        <v>0</v>
      </c>
      <c r="AZ103" s="1241"/>
      <c r="BA103" s="1241"/>
      <c r="BB103" s="1241"/>
      <c r="BC103" s="1242"/>
      <c r="BF103" s="144"/>
    </row>
    <row r="104" spans="2:58" ht="15.75" thickBot="1" x14ac:dyDescent="0.3">
      <c r="B104" s="143"/>
      <c r="C104" s="691">
        <v>10</v>
      </c>
      <c r="D104" s="1316">
        <f>'Customer Inputs'!$B$15</f>
        <v>0</v>
      </c>
      <c r="E104" s="1316"/>
      <c r="F104" s="1316"/>
      <c r="G104" s="1316"/>
      <c r="H104" s="1316"/>
      <c r="I104" s="1316"/>
      <c r="J104" s="1316"/>
      <c r="K104" s="1315">
        <f>IFERROR(IFERROR('Multi-Customer'!$DX$37,VLOOKUP($D104,'Required Info to Submit'!$E$20:$J$29,2,FALSE)),"")</f>
        <v>0</v>
      </c>
      <c r="L104" s="1315"/>
      <c r="M104" s="1315"/>
      <c r="N104" s="1315"/>
      <c r="O104" s="1315"/>
      <c r="P104" s="1315"/>
      <c r="Q104" s="1315"/>
      <c r="R104" s="1315"/>
      <c r="S104" s="1315"/>
      <c r="T104" s="1315"/>
      <c r="U104" s="1315" t="str">
        <f>IFERROR(IFERROR('Multi-Customer'!$DX$39&amp;" "&amp;'Multi-Customer'!$DX$40,VLOOKUP($D104,'Required Info to Submit'!$E$20:$J$29,3,FALSE)),"")</f>
        <v>0 0</v>
      </c>
      <c r="V104" s="1315"/>
      <c r="W104" s="1315"/>
      <c r="X104" s="1315"/>
      <c r="Y104" s="1315"/>
      <c r="Z104" s="1315"/>
      <c r="AA104" s="1315"/>
      <c r="AB104" s="1315"/>
      <c r="AC104" s="1315"/>
      <c r="AD104" s="1315"/>
      <c r="AE104" s="1315"/>
      <c r="AF104" s="1315"/>
      <c r="AG104" s="1315"/>
      <c r="AH104" s="1315"/>
      <c r="AI104" s="1315"/>
      <c r="AJ104" s="1317">
        <f>IFERROR(IFERROR('Multi-Customer'!$DX$41,VLOOKUP($D104,'Required Info to Submit'!$E$20:$J$29,4,FALSE)),"")</f>
        <v>0</v>
      </c>
      <c r="AK104" s="1318"/>
      <c r="AL104" s="1318"/>
      <c r="AM104" s="1318"/>
      <c r="AN104" s="1318"/>
      <c r="AO104" s="1318"/>
      <c r="AP104" s="1318"/>
      <c r="AQ104" s="1318"/>
      <c r="AR104" s="1318"/>
      <c r="AS104" s="1318"/>
      <c r="AT104" s="1319"/>
      <c r="AU104" s="1337">
        <f>IFERROR(IFERROR('Multi-Customer'!$DX$42,VLOOKUP($D104,'Required Info to Submit'!$E$20:$J$29,5,FALSE)),"")</f>
        <v>0</v>
      </c>
      <c r="AV104" s="1338"/>
      <c r="AW104" s="1338"/>
      <c r="AX104" s="1339"/>
      <c r="AY104" s="1330">
        <f>IFERROR(IFERROR('Multi-Customer'!$DX$43,VLOOKUP($D104,'Required Info to Submit'!$E$20:$J$29,6,FALSE)),"")</f>
        <v>0</v>
      </c>
      <c r="AZ104" s="1331"/>
      <c r="BA104" s="1331"/>
      <c r="BB104" s="1331"/>
      <c r="BC104" s="1332"/>
      <c r="BF104" s="144"/>
    </row>
    <row r="105" spans="2:58" x14ac:dyDescent="0.25">
      <c r="B105" s="143"/>
      <c r="BF105" s="144"/>
    </row>
    <row r="106" spans="2:58" x14ac:dyDescent="0.25">
      <c r="B106" s="143"/>
      <c r="BF106" s="144"/>
    </row>
    <row r="107" spans="2:58" ht="18.75" x14ac:dyDescent="0.3">
      <c r="B107" s="1293" t="s">
        <v>1062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c r="AM107" s="1294"/>
      <c r="AN107" s="1294"/>
      <c r="AO107" s="1294"/>
      <c r="AP107" s="1294"/>
      <c r="AQ107" s="1294"/>
      <c r="AR107" s="1294"/>
      <c r="AS107" s="1294"/>
      <c r="AT107" s="1294"/>
      <c r="AU107" s="1294"/>
      <c r="AV107" s="1294"/>
      <c r="AW107" s="1294"/>
      <c r="AX107" s="1294"/>
      <c r="AY107" s="1294"/>
      <c r="AZ107" s="1294"/>
      <c r="BA107" s="1294"/>
      <c r="BB107" s="1294"/>
      <c r="BC107" s="1294"/>
      <c r="BD107" s="1294"/>
      <c r="BE107" s="1294"/>
      <c r="BF107" s="129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64" t="s">
        <v>1063</v>
      </c>
      <c r="V109" s="1235"/>
      <c r="W109" s="1235"/>
      <c r="X109" s="1235"/>
      <c r="Y109" s="1235"/>
      <c r="Z109" s="1235" t="s">
        <v>1056</v>
      </c>
      <c r="AA109" s="1235"/>
      <c r="AB109" s="1235"/>
      <c r="AC109" s="1235"/>
      <c r="AD109" s="1235"/>
      <c r="AE109" s="1235"/>
      <c r="AF109" s="1235" t="s">
        <v>1057</v>
      </c>
      <c r="AG109" s="1235"/>
      <c r="AH109" s="1235"/>
      <c r="AI109" s="1235"/>
      <c r="AJ109" s="1235"/>
      <c r="AK109" s="1235"/>
      <c r="AL109" s="1235"/>
      <c r="AM109" s="1235" t="s">
        <v>1060</v>
      </c>
      <c r="AN109" s="1235"/>
      <c r="AO109" s="1235"/>
      <c r="AP109" s="1235"/>
      <c r="AQ109" s="1235"/>
      <c r="AR109" s="1235"/>
      <c r="AS109" s="1236"/>
      <c r="AT109" s="272"/>
      <c r="AU109" s="272"/>
      <c r="AV109" s="272"/>
      <c r="AW109" s="272"/>
      <c r="AX109" s="272"/>
      <c r="AY109" s="272"/>
      <c r="AZ109" s="272"/>
      <c r="BA109" s="272"/>
      <c r="BB109" s="272"/>
      <c r="BC109" s="272"/>
      <c r="BD109" s="272"/>
      <c r="BE109" s="272"/>
      <c r="BF109" s="695"/>
    </row>
    <row r="110" spans="2:58" x14ac:dyDescent="0.25">
      <c r="B110" s="143"/>
      <c r="D110" s="1261" t="s">
        <v>99</v>
      </c>
      <c r="E110" s="1262"/>
      <c r="F110" s="1262"/>
      <c r="G110" s="1262"/>
      <c r="H110" s="1262"/>
      <c r="I110" s="1262"/>
      <c r="J110" s="1262"/>
      <c r="K110" s="1262"/>
      <c r="L110" s="1262"/>
      <c r="M110" s="1262"/>
      <c r="N110" s="1262"/>
      <c r="O110" s="1262"/>
      <c r="P110" s="1262"/>
      <c r="Q110" s="1262"/>
      <c r="R110" s="1262"/>
      <c r="S110" s="1262"/>
      <c r="T110" s="1263"/>
      <c r="U110" s="1252" t="str">
        <f>IF('PIM Model'!$B$10=0,"",'PIM Model'!$B$10)</f>
        <v/>
      </c>
      <c r="V110" s="1253"/>
      <c r="W110" s="1253"/>
      <c r="X110" s="1253"/>
      <c r="Y110" s="1253"/>
      <c r="Z110" s="1253" t="str">
        <f>'PIM Model'!$AF$10</f>
        <v/>
      </c>
      <c r="AA110" s="1253"/>
      <c r="AB110" s="1253"/>
      <c r="AC110" s="1253"/>
      <c r="AD110" s="1253"/>
      <c r="AE110" s="1253"/>
      <c r="AF110" s="1237" t="str">
        <f>'PIM Model'!$AG$10</f>
        <v/>
      </c>
      <c r="AG110" s="1238"/>
      <c r="AH110" s="1238"/>
      <c r="AI110" s="1238"/>
      <c r="AJ110" s="1238"/>
      <c r="AK110" s="1238"/>
      <c r="AL110" s="1245"/>
      <c r="AM110" s="1237" t="str">
        <f>'PIM Model'!$AH$10</f>
        <v/>
      </c>
      <c r="AN110" s="1238"/>
      <c r="AO110" s="1238"/>
      <c r="AP110" s="1238"/>
      <c r="AQ110" s="1238"/>
      <c r="AR110" s="1238"/>
      <c r="AS110" s="1239"/>
      <c r="BF110" s="144"/>
    </row>
    <row r="111" spans="2:58" x14ac:dyDescent="0.25">
      <c r="B111" s="143"/>
      <c r="D111" s="1248" t="s">
        <v>529</v>
      </c>
      <c r="E111" s="1249"/>
      <c r="F111" s="1249"/>
      <c r="G111" s="1249"/>
      <c r="H111" s="1249"/>
      <c r="I111" s="1249"/>
      <c r="J111" s="1249"/>
      <c r="K111" s="1249"/>
      <c r="L111" s="1249"/>
      <c r="M111" s="1249"/>
      <c r="N111" s="1249"/>
      <c r="O111" s="1249"/>
      <c r="P111" s="1249"/>
      <c r="Q111" s="1249"/>
      <c r="R111" s="1249"/>
      <c r="S111" s="1249"/>
      <c r="T111" s="1250"/>
      <c r="U111" s="1247" t="str">
        <f>IF('PIM Model'!$B$11=0,"",'PIM Model'!$B$11)</f>
        <v/>
      </c>
      <c r="V111" s="1168"/>
      <c r="W111" s="1168"/>
      <c r="X111" s="1168"/>
      <c r="Y111" s="1168"/>
      <c r="Z111" s="1168" t="str">
        <f>'PIM Model'!$AF$11</f>
        <v/>
      </c>
      <c r="AA111" s="1168"/>
      <c r="AB111" s="1168"/>
      <c r="AC111" s="1168"/>
      <c r="AD111" s="1168"/>
      <c r="AE111" s="1168"/>
      <c r="AF111" s="1240" t="str">
        <f>'PIM Model'!$AG$11</f>
        <v/>
      </c>
      <c r="AG111" s="1241"/>
      <c r="AH111" s="1241"/>
      <c r="AI111" s="1241"/>
      <c r="AJ111" s="1241"/>
      <c r="AK111" s="1241"/>
      <c r="AL111" s="1246"/>
      <c r="AM111" s="1240" t="str">
        <f>'PIM Model'!$AH$11</f>
        <v/>
      </c>
      <c r="AN111" s="1241"/>
      <c r="AO111" s="1241"/>
      <c r="AP111" s="1241"/>
      <c r="AQ111" s="1241"/>
      <c r="AR111" s="1241"/>
      <c r="AS111" s="1242"/>
      <c r="BF111" s="144"/>
    </row>
    <row r="112" spans="2:58" x14ac:dyDescent="0.25">
      <c r="B112" s="143"/>
      <c r="D112" s="1248" t="s">
        <v>530</v>
      </c>
      <c r="E112" s="1249"/>
      <c r="F112" s="1249"/>
      <c r="G112" s="1249"/>
      <c r="H112" s="1249"/>
      <c r="I112" s="1249"/>
      <c r="J112" s="1249"/>
      <c r="K112" s="1249"/>
      <c r="L112" s="1249"/>
      <c r="M112" s="1249"/>
      <c r="N112" s="1249"/>
      <c r="O112" s="1249"/>
      <c r="P112" s="1249"/>
      <c r="Q112" s="1249"/>
      <c r="R112" s="1249"/>
      <c r="S112" s="1249"/>
      <c r="T112" s="1250"/>
      <c r="U112" s="1247" t="str">
        <f>IF('PIM Model'!$B$12=0,"",'PIM Model'!$B$12)</f>
        <v/>
      </c>
      <c r="V112" s="1168"/>
      <c r="W112" s="1168"/>
      <c r="X112" s="1168"/>
      <c r="Y112" s="1168"/>
      <c r="Z112" s="1168" t="str">
        <f>'PIM Model'!$AF$12</f>
        <v/>
      </c>
      <c r="AA112" s="1168"/>
      <c r="AB112" s="1168"/>
      <c r="AC112" s="1168"/>
      <c r="AD112" s="1168"/>
      <c r="AE112" s="1168"/>
      <c r="AF112" s="1240" t="str">
        <f>'PIM Model'!$AG$12</f>
        <v/>
      </c>
      <c r="AG112" s="1241"/>
      <c r="AH112" s="1241"/>
      <c r="AI112" s="1241"/>
      <c r="AJ112" s="1241"/>
      <c r="AK112" s="1241"/>
      <c r="AL112" s="1246"/>
      <c r="AM112" s="1240" t="str">
        <f>'PIM Model'!$AH$12</f>
        <v/>
      </c>
      <c r="AN112" s="1241"/>
      <c r="AO112" s="1241"/>
      <c r="AP112" s="1241"/>
      <c r="AQ112" s="1241"/>
      <c r="AR112" s="1241"/>
      <c r="AS112" s="1242"/>
      <c r="BF112" s="144"/>
    </row>
    <row r="113" spans="2:58" x14ac:dyDescent="0.25">
      <c r="B113" s="143"/>
      <c r="D113" s="1248" t="s">
        <v>102</v>
      </c>
      <c r="E113" s="1249"/>
      <c r="F113" s="1249"/>
      <c r="G113" s="1249"/>
      <c r="H113" s="1249"/>
      <c r="I113" s="1249"/>
      <c r="J113" s="1249"/>
      <c r="K113" s="1249"/>
      <c r="L113" s="1249"/>
      <c r="M113" s="1249"/>
      <c r="N113" s="1249"/>
      <c r="O113" s="1249"/>
      <c r="P113" s="1249"/>
      <c r="Q113" s="1249"/>
      <c r="R113" s="1249"/>
      <c r="S113" s="1249"/>
      <c r="T113" s="1250"/>
      <c r="U113" s="1247" t="str">
        <f>IF('PIM Model'!$B$13=0,"",'PIM Model'!$B$13)</f>
        <v/>
      </c>
      <c r="V113" s="1168"/>
      <c r="W113" s="1168"/>
      <c r="X113" s="1168"/>
      <c r="Y113" s="1168"/>
      <c r="Z113" s="1168" t="str">
        <f>'PIM Model'!$AF$13</f>
        <v/>
      </c>
      <c r="AA113" s="1168"/>
      <c r="AB113" s="1168"/>
      <c r="AC113" s="1168"/>
      <c r="AD113" s="1168"/>
      <c r="AE113" s="1168"/>
      <c r="AF113" s="1240" t="str">
        <f>'PIM Model'!$AG$13</f>
        <v/>
      </c>
      <c r="AG113" s="1241"/>
      <c r="AH113" s="1241"/>
      <c r="AI113" s="1241"/>
      <c r="AJ113" s="1241"/>
      <c r="AK113" s="1241"/>
      <c r="AL113" s="1246"/>
      <c r="AM113" s="1240" t="str">
        <f>'PIM Model'!$AH$13</f>
        <v/>
      </c>
      <c r="AN113" s="1241"/>
      <c r="AO113" s="1241"/>
      <c r="AP113" s="1241"/>
      <c r="AQ113" s="1241"/>
      <c r="AR113" s="1241"/>
      <c r="AS113" s="1242"/>
      <c r="BF113" s="144"/>
    </row>
    <row r="114" spans="2:58" x14ac:dyDescent="0.25">
      <c r="B114" s="143"/>
      <c r="D114" s="1248" t="s">
        <v>100</v>
      </c>
      <c r="E114" s="1249"/>
      <c r="F114" s="1249"/>
      <c r="G114" s="1249"/>
      <c r="H114" s="1249"/>
      <c r="I114" s="1249"/>
      <c r="J114" s="1249"/>
      <c r="K114" s="1249"/>
      <c r="L114" s="1249"/>
      <c r="M114" s="1249"/>
      <c r="N114" s="1249"/>
      <c r="O114" s="1249"/>
      <c r="P114" s="1249"/>
      <c r="Q114" s="1249"/>
      <c r="R114" s="1249"/>
      <c r="S114" s="1249"/>
      <c r="T114" s="1250"/>
      <c r="U114" s="1247" t="str">
        <f>IF('PIM Model'!$B$14=0,"",'PIM Model'!$B$14)</f>
        <v/>
      </c>
      <c r="V114" s="1168"/>
      <c r="W114" s="1168"/>
      <c r="X114" s="1168"/>
      <c r="Y114" s="1168"/>
      <c r="Z114" s="1168" t="str">
        <f>'PIM Model'!$AF$14</f>
        <v/>
      </c>
      <c r="AA114" s="1168"/>
      <c r="AB114" s="1168"/>
      <c r="AC114" s="1168"/>
      <c r="AD114" s="1168"/>
      <c r="AE114" s="1168"/>
      <c r="AF114" s="1240" t="str">
        <f>'PIM Model'!$AG$14</f>
        <v/>
      </c>
      <c r="AG114" s="1241"/>
      <c r="AH114" s="1241"/>
      <c r="AI114" s="1241"/>
      <c r="AJ114" s="1241"/>
      <c r="AK114" s="1241"/>
      <c r="AL114" s="1246"/>
      <c r="AM114" s="1240" t="str">
        <f>'PIM Model'!$AH$14</f>
        <v/>
      </c>
      <c r="AN114" s="1241"/>
      <c r="AO114" s="1241"/>
      <c r="AP114" s="1241"/>
      <c r="AQ114" s="1241"/>
      <c r="AR114" s="1241"/>
      <c r="AS114" s="1242"/>
      <c r="BF114" s="144"/>
    </row>
    <row r="115" spans="2:58" x14ac:dyDescent="0.25">
      <c r="B115" s="143"/>
      <c r="D115" s="1248" t="s">
        <v>104</v>
      </c>
      <c r="E115" s="1249"/>
      <c r="F115" s="1249"/>
      <c r="G115" s="1249"/>
      <c r="H115" s="1249"/>
      <c r="I115" s="1249"/>
      <c r="J115" s="1249"/>
      <c r="K115" s="1249"/>
      <c r="L115" s="1249"/>
      <c r="M115" s="1249"/>
      <c r="N115" s="1249"/>
      <c r="O115" s="1249"/>
      <c r="P115" s="1249"/>
      <c r="Q115" s="1249"/>
      <c r="R115" s="1249"/>
      <c r="S115" s="1249"/>
      <c r="T115" s="1250"/>
      <c r="U115" s="1247" t="str">
        <f>IF('PIM Model'!$B$15=0,"",'PIM Model'!$B$15)</f>
        <v/>
      </c>
      <c r="V115" s="1168"/>
      <c r="W115" s="1168"/>
      <c r="X115" s="1168"/>
      <c r="Y115" s="1168"/>
      <c r="Z115" s="1168" t="str">
        <f>'PIM Model'!$AF$15</f>
        <v/>
      </c>
      <c r="AA115" s="1168"/>
      <c r="AB115" s="1168"/>
      <c r="AC115" s="1168"/>
      <c r="AD115" s="1168"/>
      <c r="AE115" s="1168"/>
      <c r="AF115" s="1240" t="str">
        <f>'PIM Model'!$AG$15</f>
        <v/>
      </c>
      <c r="AG115" s="1241"/>
      <c r="AH115" s="1241"/>
      <c r="AI115" s="1241"/>
      <c r="AJ115" s="1241"/>
      <c r="AK115" s="1241"/>
      <c r="AL115" s="1246"/>
      <c r="AM115" s="1240" t="str">
        <f>'PIM Model'!$AH$15</f>
        <v/>
      </c>
      <c r="AN115" s="1241"/>
      <c r="AO115" s="1241"/>
      <c r="AP115" s="1241"/>
      <c r="AQ115" s="1241"/>
      <c r="AR115" s="1241"/>
      <c r="AS115" s="1242"/>
      <c r="BF115" s="144"/>
    </row>
    <row r="116" spans="2:58" x14ac:dyDescent="0.25">
      <c r="B116" s="143"/>
      <c r="D116" s="1248" t="s">
        <v>98</v>
      </c>
      <c r="E116" s="1249"/>
      <c r="F116" s="1249"/>
      <c r="G116" s="1249"/>
      <c r="H116" s="1249"/>
      <c r="I116" s="1249"/>
      <c r="J116" s="1249"/>
      <c r="K116" s="1249"/>
      <c r="L116" s="1249"/>
      <c r="M116" s="1249"/>
      <c r="N116" s="1249"/>
      <c r="O116" s="1249"/>
      <c r="P116" s="1249"/>
      <c r="Q116" s="1249"/>
      <c r="R116" s="1249"/>
      <c r="S116" s="1249"/>
      <c r="T116" s="1250"/>
      <c r="U116" s="1247" t="str">
        <f>IF('PIM Model'!$B$16=0,"",'PIM Model'!$B$16)</f>
        <v/>
      </c>
      <c r="V116" s="1168"/>
      <c r="W116" s="1168"/>
      <c r="X116" s="1168"/>
      <c r="Y116" s="1168"/>
      <c r="Z116" s="1168" t="str">
        <f>'PIM Model'!$AF$16</f>
        <v/>
      </c>
      <c r="AA116" s="1168"/>
      <c r="AB116" s="1168"/>
      <c r="AC116" s="1168"/>
      <c r="AD116" s="1168"/>
      <c r="AE116" s="1168"/>
      <c r="AF116" s="1240" t="str">
        <f>'PIM Model'!$AG$16</f>
        <v/>
      </c>
      <c r="AG116" s="1241"/>
      <c r="AH116" s="1241"/>
      <c r="AI116" s="1241"/>
      <c r="AJ116" s="1241"/>
      <c r="AK116" s="1241"/>
      <c r="AL116" s="1246"/>
      <c r="AM116" s="1240" t="str">
        <f>'PIM Model'!$AH$16</f>
        <v/>
      </c>
      <c r="AN116" s="1241"/>
      <c r="AO116" s="1241"/>
      <c r="AP116" s="1241"/>
      <c r="AQ116" s="1241"/>
      <c r="AR116" s="1241"/>
      <c r="AS116" s="1242"/>
      <c r="BF116" s="144"/>
    </row>
    <row r="117" spans="2:58" x14ac:dyDescent="0.25">
      <c r="B117" s="143"/>
      <c r="D117" s="1248" t="s">
        <v>95</v>
      </c>
      <c r="E117" s="1249"/>
      <c r="F117" s="1249"/>
      <c r="G117" s="1249"/>
      <c r="H117" s="1249"/>
      <c r="I117" s="1249"/>
      <c r="J117" s="1249"/>
      <c r="K117" s="1249"/>
      <c r="L117" s="1249"/>
      <c r="M117" s="1249"/>
      <c r="N117" s="1249"/>
      <c r="O117" s="1249"/>
      <c r="P117" s="1249"/>
      <c r="Q117" s="1249"/>
      <c r="R117" s="1249"/>
      <c r="S117" s="1249"/>
      <c r="T117" s="1250"/>
      <c r="U117" s="1247" t="str">
        <f>IF('PIM Model'!$B$17=0,"",'PIM Model'!$B$17)</f>
        <v/>
      </c>
      <c r="V117" s="1168"/>
      <c r="W117" s="1168"/>
      <c r="X117" s="1168"/>
      <c r="Y117" s="1168"/>
      <c r="Z117" s="1168" t="str">
        <f>'PIM Model'!$AF$17</f>
        <v/>
      </c>
      <c r="AA117" s="1168"/>
      <c r="AB117" s="1168"/>
      <c r="AC117" s="1168"/>
      <c r="AD117" s="1168"/>
      <c r="AE117" s="1168"/>
      <c r="AF117" s="1240" t="str">
        <f>'PIM Model'!$AG$17</f>
        <v/>
      </c>
      <c r="AG117" s="1241"/>
      <c r="AH117" s="1241"/>
      <c r="AI117" s="1241"/>
      <c r="AJ117" s="1241"/>
      <c r="AK117" s="1241"/>
      <c r="AL117" s="1246"/>
      <c r="AM117" s="1240" t="str">
        <f>'PIM Model'!$AH$17</f>
        <v/>
      </c>
      <c r="AN117" s="1241"/>
      <c r="AO117" s="1241"/>
      <c r="AP117" s="1241"/>
      <c r="AQ117" s="1241"/>
      <c r="AR117" s="1241"/>
      <c r="AS117" s="1242"/>
      <c r="BF117" s="144"/>
    </row>
    <row r="118" spans="2:58" x14ac:dyDescent="0.25">
      <c r="B118" s="143"/>
      <c r="D118" s="1248" t="s">
        <v>96</v>
      </c>
      <c r="E118" s="1249"/>
      <c r="F118" s="1249"/>
      <c r="G118" s="1249"/>
      <c r="H118" s="1249"/>
      <c r="I118" s="1249"/>
      <c r="J118" s="1249"/>
      <c r="K118" s="1249"/>
      <c r="L118" s="1249"/>
      <c r="M118" s="1249"/>
      <c r="N118" s="1249"/>
      <c r="O118" s="1249"/>
      <c r="P118" s="1249"/>
      <c r="Q118" s="1249"/>
      <c r="R118" s="1249"/>
      <c r="S118" s="1249"/>
      <c r="T118" s="1250"/>
      <c r="U118" s="1247" t="str">
        <f>IF('PIM Model'!$B$18=0,"",'PIM Model'!$B$18)</f>
        <v/>
      </c>
      <c r="V118" s="1168"/>
      <c r="W118" s="1168"/>
      <c r="X118" s="1168"/>
      <c r="Y118" s="1168"/>
      <c r="Z118" s="1168" t="str">
        <f>'PIM Model'!$AF$18</f>
        <v/>
      </c>
      <c r="AA118" s="1168"/>
      <c r="AB118" s="1168"/>
      <c r="AC118" s="1168"/>
      <c r="AD118" s="1168"/>
      <c r="AE118" s="1168"/>
      <c r="AF118" s="1240" t="str">
        <f>'PIM Model'!$AG$18</f>
        <v/>
      </c>
      <c r="AG118" s="1241"/>
      <c r="AH118" s="1241"/>
      <c r="AI118" s="1241"/>
      <c r="AJ118" s="1241"/>
      <c r="AK118" s="1241"/>
      <c r="AL118" s="1246"/>
      <c r="AM118" s="1240" t="str">
        <f>'PIM Model'!$AH$18</f>
        <v/>
      </c>
      <c r="AN118" s="1241"/>
      <c r="AO118" s="1241"/>
      <c r="AP118" s="1241"/>
      <c r="AQ118" s="1241"/>
      <c r="AR118" s="1241"/>
      <c r="AS118" s="1242"/>
      <c r="BF118" s="144"/>
    </row>
    <row r="119" spans="2:58" x14ac:dyDescent="0.25">
      <c r="B119" s="143"/>
      <c r="D119" s="1248" t="s">
        <v>101</v>
      </c>
      <c r="E119" s="1249"/>
      <c r="F119" s="1249"/>
      <c r="G119" s="1249"/>
      <c r="H119" s="1249"/>
      <c r="I119" s="1249"/>
      <c r="J119" s="1249"/>
      <c r="K119" s="1249"/>
      <c r="L119" s="1249"/>
      <c r="M119" s="1249"/>
      <c r="N119" s="1249"/>
      <c r="O119" s="1249"/>
      <c r="P119" s="1249"/>
      <c r="Q119" s="1249"/>
      <c r="R119" s="1249"/>
      <c r="S119" s="1249"/>
      <c r="T119" s="1250"/>
      <c r="U119" s="1247" t="str">
        <f>IF('PIM Model'!$B$19=0,"",'PIM Model'!$B$19)</f>
        <v/>
      </c>
      <c r="V119" s="1168"/>
      <c r="W119" s="1168"/>
      <c r="X119" s="1168"/>
      <c r="Y119" s="1168"/>
      <c r="Z119" s="1168" t="str">
        <f>'PIM Model'!$AF$19</f>
        <v/>
      </c>
      <c r="AA119" s="1168"/>
      <c r="AB119" s="1168"/>
      <c r="AC119" s="1168"/>
      <c r="AD119" s="1168"/>
      <c r="AE119" s="1168"/>
      <c r="AF119" s="1240" t="str">
        <f>'PIM Model'!$AG$19</f>
        <v/>
      </c>
      <c r="AG119" s="1241"/>
      <c r="AH119" s="1241"/>
      <c r="AI119" s="1241"/>
      <c r="AJ119" s="1241"/>
      <c r="AK119" s="1241"/>
      <c r="AL119" s="1246"/>
      <c r="AM119" s="1240" t="str">
        <f>'PIM Model'!$AH$19</f>
        <v/>
      </c>
      <c r="AN119" s="1241"/>
      <c r="AO119" s="1241"/>
      <c r="AP119" s="1241"/>
      <c r="AQ119" s="1241"/>
      <c r="AR119" s="1241"/>
      <c r="AS119" s="1242"/>
      <c r="BF119" s="144"/>
    </row>
    <row r="120" spans="2:58" x14ac:dyDescent="0.25">
      <c r="B120" s="143"/>
      <c r="D120" s="1248" t="s">
        <v>97</v>
      </c>
      <c r="E120" s="1249"/>
      <c r="F120" s="1249"/>
      <c r="G120" s="1249"/>
      <c r="H120" s="1249"/>
      <c r="I120" s="1249"/>
      <c r="J120" s="1249"/>
      <c r="K120" s="1249"/>
      <c r="L120" s="1249"/>
      <c r="M120" s="1249"/>
      <c r="N120" s="1249"/>
      <c r="O120" s="1249"/>
      <c r="P120" s="1249"/>
      <c r="Q120" s="1249"/>
      <c r="R120" s="1249"/>
      <c r="S120" s="1249"/>
      <c r="T120" s="1250"/>
      <c r="U120" s="1247" t="str">
        <f>IF('PIM Model'!$B$20=0,"",'PIM Model'!$B$20)</f>
        <v/>
      </c>
      <c r="V120" s="1168"/>
      <c r="W120" s="1168"/>
      <c r="X120" s="1168"/>
      <c r="Y120" s="1168"/>
      <c r="Z120" s="1168" t="str">
        <f>'PIM Model'!$AF$20</f>
        <v/>
      </c>
      <c r="AA120" s="1168"/>
      <c r="AB120" s="1168"/>
      <c r="AC120" s="1168"/>
      <c r="AD120" s="1168"/>
      <c r="AE120" s="1168"/>
      <c r="AF120" s="1240" t="str">
        <f>'PIM Model'!$AG$20</f>
        <v/>
      </c>
      <c r="AG120" s="1241"/>
      <c r="AH120" s="1241"/>
      <c r="AI120" s="1241"/>
      <c r="AJ120" s="1241"/>
      <c r="AK120" s="1241"/>
      <c r="AL120" s="1246"/>
      <c r="AM120" s="1240" t="str">
        <f>'PIM Model'!$AH$20</f>
        <v/>
      </c>
      <c r="AN120" s="1241"/>
      <c r="AO120" s="1241"/>
      <c r="AP120" s="1241"/>
      <c r="AQ120" s="1241"/>
      <c r="AR120" s="1241"/>
      <c r="AS120" s="1242"/>
      <c r="BF120" s="144"/>
    </row>
    <row r="121" spans="2:58" x14ac:dyDescent="0.25">
      <c r="B121" s="143"/>
      <c r="D121" s="1248" t="s">
        <v>93</v>
      </c>
      <c r="E121" s="1249"/>
      <c r="F121" s="1249"/>
      <c r="G121" s="1249"/>
      <c r="H121" s="1249"/>
      <c r="I121" s="1249"/>
      <c r="J121" s="1249"/>
      <c r="K121" s="1249"/>
      <c r="L121" s="1249"/>
      <c r="M121" s="1249"/>
      <c r="N121" s="1249"/>
      <c r="O121" s="1249"/>
      <c r="P121" s="1249"/>
      <c r="Q121" s="1249"/>
      <c r="R121" s="1249"/>
      <c r="S121" s="1249"/>
      <c r="T121" s="1250"/>
      <c r="U121" s="1247" t="str">
        <f>IF('PIM Model'!$B$21=0,"",'PIM Model'!$B$21)</f>
        <v/>
      </c>
      <c r="V121" s="1168"/>
      <c r="W121" s="1168"/>
      <c r="X121" s="1168"/>
      <c r="Y121" s="1168"/>
      <c r="Z121" s="1168" t="str">
        <f>'PIM Model'!$AF$21</f>
        <v/>
      </c>
      <c r="AA121" s="1168"/>
      <c r="AB121" s="1168"/>
      <c r="AC121" s="1168"/>
      <c r="AD121" s="1168"/>
      <c r="AE121" s="1168"/>
      <c r="AF121" s="1240" t="str">
        <f>'PIM Model'!$AG$21</f>
        <v/>
      </c>
      <c r="AG121" s="1241"/>
      <c r="AH121" s="1241"/>
      <c r="AI121" s="1241"/>
      <c r="AJ121" s="1241"/>
      <c r="AK121" s="1241"/>
      <c r="AL121" s="1246"/>
      <c r="AM121" s="1240" t="str">
        <f>'PIM Model'!$AH$21</f>
        <v/>
      </c>
      <c r="AN121" s="1241"/>
      <c r="AO121" s="1241"/>
      <c r="AP121" s="1241"/>
      <c r="AQ121" s="1241"/>
      <c r="AR121" s="1241"/>
      <c r="AS121" s="1242"/>
      <c r="BF121" s="144"/>
    </row>
    <row r="122" spans="2:58" x14ac:dyDescent="0.25">
      <c r="B122" s="143"/>
      <c r="D122" s="1248" t="s">
        <v>105</v>
      </c>
      <c r="E122" s="1249"/>
      <c r="F122" s="1249"/>
      <c r="G122" s="1249"/>
      <c r="H122" s="1249"/>
      <c r="I122" s="1249"/>
      <c r="J122" s="1249"/>
      <c r="K122" s="1249"/>
      <c r="L122" s="1249"/>
      <c r="M122" s="1249"/>
      <c r="N122" s="1249"/>
      <c r="O122" s="1249"/>
      <c r="P122" s="1249"/>
      <c r="Q122" s="1249"/>
      <c r="R122" s="1249"/>
      <c r="S122" s="1249"/>
      <c r="T122" s="1250"/>
      <c r="U122" s="1247" t="str">
        <f>IF('PIM Model'!$B$22=0,"",'PIM Model'!$B$22)</f>
        <v/>
      </c>
      <c r="V122" s="1168"/>
      <c r="W122" s="1168"/>
      <c r="X122" s="1168"/>
      <c r="Y122" s="1168"/>
      <c r="Z122" s="1168" t="str">
        <f>'PIM Model'!$AF$22</f>
        <v/>
      </c>
      <c r="AA122" s="1168"/>
      <c r="AB122" s="1168"/>
      <c r="AC122" s="1168"/>
      <c r="AD122" s="1168"/>
      <c r="AE122" s="1168"/>
      <c r="AF122" s="1240" t="str">
        <f>'PIM Model'!$AG$22</f>
        <v/>
      </c>
      <c r="AG122" s="1241"/>
      <c r="AH122" s="1241"/>
      <c r="AI122" s="1241"/>
      <c r="AJ122" s="1241"/>
      <c r="AK122" s="1241"/>
      <c r="AL122" s="1246"/>
      <c r="AM122" s="1240" t="str">
        <f>'PIM Model'!$AH$22</f>
        <v/>
      </c>
      <c r="AN122" s="1241"/>
      <c r="AO122" s="1241"/>
      <c r="AP122" s="1241"/>
      <c r="AQ122" s="1241"/>
      <c r="AR122" s="1241"/>
      <c r="AS122" s="1242"/>
      <c r="BF122" s="144"/>
    </row>
    <row r="123" spans="2:58" x14ac:dyDescent="0.25">
      <c r="B123" s="143"/>
      <c r="D123" s="1248" t="s">
        <v>92</v>
      </c>
      <c r="E123" s="1249"/>
      <c r="F123" s="1249"/>
      <c r="G123" s="1249"/>
      <c r="H123" s="1249"/>
      <c r="I123" s="1249"/>
      <c r="J123" s="1249"/>
      <c r="K123" s="1249"/>
      <c r="L123" s="1249"/>
      <c r="M123" s="1249"/>
      <c r="N123" s="1249"/>
      <c r="O123" s="1249"/>
      <c r="P123" s="1249"/>
      <c r="Q123" s="1249"/>
      <c r="R123" s="1249"/>
      <c r="S123" s="1249"/>
      <c r="T123" s="1250"/>
      <c r="U123" s="1247" t="str">
        <f>IF('PIM Model'!$B$23=0,"",'PIM Model'!$B$23)</f>
        <v/>
      </c>
      <c r="V123" s="1168"/>
      <c r="W123" s="1168"/>
      <c r="X123" s="1168"/>
      <c r="Y123" s="1168"/>
      <c r="Z123" s="1168" t="str">
        <f>'PIM Model'!$AF$23</f>
        <v/>
      </c>
      <c r="AA123" s="1168"/>
      <c r="AB123" s="1168"/>
      <c r="AC123" s="1168"/>
      <c r="AD123" s="1168"/>
      <c r="AE123" s="1168"/>
      <c r="AF123" s="1240" t="str">
        <f>'PIM Model'!$AG$23</f>
        <v/>
      </c>
      <c r="AG123" s="1241"/>
      <c r="AH123" s="1241"/>
      <c r="AI123" s="1241"/>
      <c r="AJ123" s="1241"/>
      <c r="AK123" s="1241"/>
      <c r="AL123" s="1246"/>
      <c r="AM123" s="1240" t="str">
        <f>'PIM Model'!$AH$23</f>
        <v/>
      </c>
      <c r="AN123" s="1241"/>
      <c r="AO123" s="1241"/>
      <c r="AP123" s="1241"/>
      <c r="AQ123" s="1241"/>
      <c r="AR123" s="1241"/>
      <c r="AS123" s="1242"/>
      <c r="BF123" s="144"/>
    </row>
    <row r="124" spans="2:58" x14ac:dyDescent="0.25">
      <c r="B124" s="143"/>
      <c r="D124" s="1248" t="s">
        <v>91</v>
      </c>
      <c r="E124" s="1249"/>
      <c r="F124" s="1249"/>
      <c r="G124" s="1249"/>
      <c r="H124" s="1249"/>
      <c r="I124" s="1249"/>
      <c r="J124" s="1249"/>
      <c r="K124" s="1249"/>
      <c r="L124" s="1249"/>
      <c r="M124" s="1249"/>
      <c r="N124" s="1249"/>
      <c r="O124" s="1249"/>
      <c r="P124" s="1249"/>
      <c r="Q124" s="1249"/>
      <c r="R124" s="1249"/>
      <c r="S124" s="1249"/>
      <c r="T124" s="1250"/>
      <c r="U124" s="1247" t="str">
        <f>IF('PIM Model'!$B$24=0,"",'PIM Model'!$B$24)</f>
        <v/>
      </c>
      <c r="V124" s="1168"/>
      <c r="W124" s="1168"/>
      <c r="X124" s="1168"/>
      <c r="Y124" s="1168"/>
      <c r="Z124" s="1168" t="str">
        <f>'PIM Model'!$AF$24</f>
        <v/>
      </c>
      <c r="AA124" s="1168"/>
      <c r="AB124" s="1168"/>
      <c r="AC124" s="1168"/>
      <c r="AD124" s="1168"/>
      <c r="AE124" s="1168"/>
      <c r="AF124" s="1240" t="str">
        <f>'PIM Model'!$AG$24</f>
        <v/>
      </c>
      <c r="AG124" s="1241"/>
      <c r="AH124" s="1241"/>
      <c r="AI124" s="1241"/>
      <c r="AJ124" s="1241"/>
      <c r="AK124" s="1241"/>
      <c r="AL124" s="1246"/>
      <c r="AM124" s="1240" t="str">
        <f>'PIM Model'!$AH$24</f>
        <v/>
      </c>
      <c r="AN124" s="1241"/>
      <c r="AO124" s="1241"/>
      <c r="AP124" s="1241"/>
      <c r="AQ124" s="1241"/>
      <c r="AR124" s="1241"/>
      <c r="AS124" s="1242"/>
      <c r="BF124" s="144"/>
    </row>
    <row r="125" spans="2:58" x14ac:dyDescent="0.25">
      <c r="B125" s="143"/>
      <c r="D125" s="1248" t="s">
        <v>90</v>
      </c>
      <c r="E125" s="1249"/>
      <c r="F125" s="1249"/>
      <c r="G125" s="1249"/>
      <c r="H125" s="1249"/>
      <c r="I125" s="1249"/>
      <c r="J125" s="1249"/>
      <c r="K125" s="1249"/>
      <c r="L125" s="1249"/>
      <c r="M125" s="1249"/>
      <c r="N125" s="1249"/>
      <c r="O125" s="1249"/>
      <c r="P125" s="1249"/>
      <c r="Q125" s="1249"/>
      <c r="R125" s="1249"/>
      <c r="S125" s="1249"/>
      <c r="T125" s="1250"/>
      <c r="U125" s="1247" t="str">
        <f>IF('PIM Model'!$B$25=0,"",'PIM Model'!$B$25)</f>
        <v/>
      </c>
      <c r="V125" s="1168"/>
      <c r="W125" s="1168"/>
      <c r="X125" s="1168"/>
      <c r="Y125" s="1168"/>
      <c r="Z125" s="1168" t="str">
        <f>'PIM Model'!$AF$25</f>
        <v/>
      </c>
      <c r="AA125" s="1168"/>
      <c r="AB125" s="1168"/>
      <c r="AC125" s="1168"/>
      <c r="AD125" s="1168"/>
      <c r="AE125" s="1168"/>
      <c r="AF125" s="1240" t="str">
        <f>'PIM Model'!$AG$25</f>
        <v/>
      </c>
      <c r="AG125" s="1241"/>
      <c r="AH125" s="1241"/>
      <c r="AI125" s="1241"/>
      <c r="AJ125" s="1241"/>
      <c r="AK125" s="1241"/>
      <c r="AL125" s="1246"/>
      <c r="AM125" s="1240" t="str">
        <f>'PIM Model'!$AH$25</f>
        <v/>
      </c>
      <c r="AN125" s="1241"/>
      <c r="AO125" s="1241"/>
      <c r="AP125" s="1241"/>
      <c r="AQ125" s="1241"/>
      <c r="AR125" s="1241"/>
      <c r="AS125" s="1242"/>
      <c r="BF125" s="144"/>
    </row>
    <row r="126" spans="2:58" x14ac:dyDescent="0.25">
      <c r="B126" s="143"/>
      <c r="D126" s="1248" t="s">
        <v>89</v>
      </c>
      <c r="E126" s="1249"/>
      <c r="F126" s="1249"/>
      <c r="G126" s="1249"/>
      <c r="H126" s="1249"/>
      <c r="I126" s="1249"/>
      <c r="J126" s="1249"/>
      <c r="K126" s="1249"/>
      <c r="L126" s="1249"/>
      <c r="M126" s="1249"/>
      <c r="N126" s="1249"/>
      <c r="O126" s="1249"/>
      <c r="P126" s="1249"/>
      <c r="Q126" s="1249"/>
      <c r="R126" s="1249"/>
      <c r="S126" s="1249"/>
      <c r="T126" s="1250"/>
      <c r="U126" s="1247" t="str">
        <f>IF('PIM Model'!$B$26=0,"",'PIM Model'!$B$26)</f>
        <v/>
      </c>
      <c r="V126" s="1168"/>
      <c r="W126" s="1168"/>
      <c r="X126" s="1168"/>
      <c r="Y126" s="1168"/>
      <c r="Z126" s="1168" t="str">
        <f>'PIM Model'!$AF$26</f>
        <v/>
      </c>
      <c r="AA126" s="1168"/>
      <c r="AB126" s="1168"/>
      <c r="AC126" s="1168"/>
      <c r="AD126" s="1168"/>
      <c r="AE126" s="1168"/>
      <c r="AF126" s="1240" t="str">
        <f>'PIM Model'!$AG$26</f>
        <v/>
      </c>
      <c r="AG126" s="1241"/>
      <c r="AH126" s="1241"/>
      <c r="AI126" s="1241"/>
      <c r="AJ126" s="1241"/>
      <c r="AK126" s="1241"/>
      <c r="AL126" s="1246"/>
      <c r="AM126" s="1240" t="str">
        <f>'PIM Model'!$AH$26</f>
        <v/>
      </c>
      <c r="AN126" s="1241"/>
      <c r="AO126" s="1241"/>
      <c r="AP126" s="1241"/>
      <c r="AQ126" s="1241"/>
      <c r="AR126" s="1241"/>
      <c r="AS126" s="1242"/>
      <c r="BF126" s="144"/>
    </row>
    <row r="127" spans="2:58" x14ac:dyDescent="0.25">
      <c r="B127" s="143"/>
      <c r="D127" s="1248" t="s">
        <v>94</v>
      </c>
      <c r="E127" s="1249"/>
      <c r="F127" s="1249"/>
      <c r="G127" s="1249"/>
      <c r="H127" s="1249"/>
      <c r="I127" s="1249"/>
      <c r="J127" s="1249"/>
      <c r="K127" s="1249"/>
      <c r="L127" s="1249"/>
      <c r="M127" s="1249"/>
      <c r="N127" s="1249"/>
      <c r="O127" s="1249"/>
      <c r="P127" s="1249"/>
      <c r="Q127" s="1249"/>
      <c r="R127" s="1249"/>
      <c r="S127" s="1249"/>
      <c r="T127" s="1250"/>
      <c r="U127" s="1247" t="str">
        <f>IF('PIM Model'!$B$27=0,"",'PIM Model'!$B$27)</f>
        <v/>
      </c>
      <c r="V127" s="1168"/>
      <c r="W127" s="1168"/>
      <c r="X127" s="1168"/>
      <c r="Y127" s="1168"/>
      <c r="Z127" s="1168" t="str">
        <f>'PIM Model'!$AF$27</f>
        <v/>
      </c>
      <c r="AA127" s="1168"/>
      <c r="AB127" s="1168"/>
      <c r="AC127" s="1168"/>
      <c r="AD127" s="1168"/>
      <c r="AE127" s="1168"/>
      <c r="AF127" s="1240" t="str">
        <f>'PIM Model'!$AG$27</f>
        <v/>
      </c>
      <c r="AG127" s="1241"/>
      <c r="AH127" s="1241"/>
      <c r="AI127" s="1241"/>
      <c r="AJ127" s="1241"/>
      <c r="AK127" s="1241"/>
      <c r="AL127" s="1246"/>
      <c r="AM127" s="1240" t="str">
        <f>'PIM Model'!$AH$27</f>
        <v/>
      </c>
      <c r="AN127" s="1241"/>
      <c r="AO127" s="1241"/>
      <c r="AP127" s="1241"/>
      <c r="AQ127" s="1241"/>
      <c r="AR127" s="1241"/>
      <c r="AS127" s="1242"/>
      <c r="BF127" s="144"/>
    </row>
    <row r="128" spans="2:58" x14ac:dyDescent="0.25">
      <c r="B128" s="143"/>
      <c r="D128" s="1248" t="s">
        <v>86</v>
      </c>
      <c r="E128" s="1249"/>
      <c r="F128" s="1249"/>
      <c r="G128" s="1249"/>
      <c r="H128" s="1249"/>
      <c r="I128" s="1249"/>
      <c r="J128" s="1249"/>
      <c r="K128" s="1249"/>
      <c r="L128" s="1249"/>
      <c r="M128" s="1249"/>
      <c r="N128" s="1249"/>
      <c r="O128" s="1249"/>
      <c r="P128" s="1249"/>
      <c r="Q128" s="1249"/>
      <c r="R128" s="1249"/>
      <c r="S128" s="1249"/>
      <c r="T128" s="1250"/>
      <c r="U128" s="1247" t="str">
        <f>IF('PIM Model'!$B$28=0,"",'PIM Model'!$B$28)</f>
        <v/>
      </c>
      <c r="V128" s="1168"/>
      <c r="W128" s="1168"/>
      <c r="X128" s="1168"/>
      <c r="Y128" s="1168"/>
      <c r="Z128" s="1168" t="str">
        <f>'PIM Model'!$AF$28</f>
        <v/>
      </c>
      <c r="AA128" s="1168"/>
      <c r="AB128" s="1168"/>
      <c r="AC128" s="1168"/>
      <c r="AD128" s="1168"/>
      <c r="AE128" s="1168"/>
      <c r="AF128" s="1240" t="str">
        <f>'PIM Model'!$AG$28</f>
        <v/>
      </c>
      <c r="AG128" s="1241"/>
      <c r="AH128" s="1241"/>
      <c r="AI128" s="1241"/>
      <c r="AJ128" s="1241"/>
      <c r="AK128" s="1241"/>
      <c r="AL128" s="1246"/>
      <c r="AM128" s="1240" t="str">
        <f>'PIM Model'!$AH$28</f>
        <v/>
      </c>
      <c r="AN128" s="1241"/>
      <c r="AO128" s="1241"/>
      <c r="AP128" s="1241"/>
      <c r="AQ128" s="1241"/>
      <c r="AR128" s="1241"/>
      <c r="AS128" s="1242"/>
      <c r="BF128" s="144"/>
    </row>
    <row r="129" spans="2:58" x14ac:dyDescent="0.25">
      <c r="B129" s="143"/>
      <c r="D129" s="1248" t="s">
        <v>88</v>
      </c>
      <c r="E129" s="1249"/>
      <c r="F129" s="1249"/>
      <c r="G129" s="1249"/>
      <c r="H129" s="1249"/>
      <c r="I129" s="1249"/>
      <c r="J129" s="1249"/>
      <c r="K129" s="1249"/>
      <c r="L129" s="1249"/>
      <c r="M129" s="1249"/>
      <c r="N129" s="1249"/>
      <c r="O129" s="1249"/>
      <c r="P129" s="1249"/>
      <c r="Q129" s="1249"/>
      <c r="R129" s="1249"/>
      <c r="S129" s="1249"/>
      <c r="T129" s="1250"/>
      <c r="U129" s="1247" t="str">
        <f>IF('PIM Model'!$B$29=0,"",'PIM Model'!$B$29)</f>
        <v/>
      </c>
      <c r="V129" s="1168"/>
      <c r="W129" s="1168"/>
      <c r="X129" s="1168"/>
      <c r="Y129" s="1168"/>
      <c r="Z129" s="1168" t="str">
        <f>'PIM Model'!$AF$29</f>
        <v/>
      </c>
      <c r="AA129" s="1168"/>
      <c r="AB129" s="1168"/>
      <c r="AC129" s="1168"/>
      <c r="AD129" s="1168"/>
      <c r="AE129" s="1168"/>
      <c r="AF129" s="1240" t="str">
        <f>'PIM Model'!$AG$29</f>
        <v/>
      </c>
      <c r="AG129" s="1241"/>
      <c r="AH129" s="1241"/>
      <c r="AI129" s="1241"/>
      <c r="AJ129" s="1241"/>
      <c r="AK129" s="1241"/>
      <c r="AL129" s="1246"/>
      <c r="AM129" s="1240" t="str">
        <f>'PIM Model'!$AH$29</f>
        <v/>
      </c>
      <c r="AN129" s="1241"/>
      <c r="AO129" s="1241"/>
      <c r="AP129" s="1241"/>
      <c r="AQ129" s="1241"/>
      <c r="AR129" s="1241"/>
      <c r="AS129" s="1242"/>
      <c r="BF129" s="144"/>
    </row>
    <row r="130" spans="2:58" ht="15.75" thickBot="1" x14ac:dyDescent="0.3">
      <c r="B130" s="143"/>
      <c r="D130" s="1254" t="s">
        <v>87</v>
      </c>
      <c r="E130" s="1255"/>
      <c r="F130" s="1255"/>
      <c r="G130" s="1255"/>
      <c r="H130" s="1255"/>
      <c r="I130" s="1255"/>
      <c r="J130" s="1255"/>
      <c r="K130" s="1255"/>
      <c r="L130" s="1255"/>
      <c r="M130" s="1255"/>
      <c r="N130" s="1255"/>
      <c r="O130" s="1255"/>
      <c r="P130" s="1255"/>
      <c r="Q130" s="1255"/>
      <c r="R130" s="1255"/>
      <c r="S130" s="1255"/>
      <c r="T130" s="1256"/>
      <c r="U130" s="1251" t="str">
        <f>IF('PIM Model'!$B$30=0,"",'PIM Model'!$B$30)</f>
        <v/>
      </c>
      <c r="V130" s="1244"/>
      <c r="W130" s="1244"/>
      <c r="X130" s="1244"/>
      <c r="Y130" s="1244"/>
      <c r="Z130" s="1244" t="str">
        <f>'PIM Model'!$AF$30</f>
        <v/>
      </c>
      <c r="AA130" s="1244"/>
      <c r="AB130" s="1244"/>
      <c r="AC130" s="1244"/>
      <c r="AD130" s="1244"/>
      <c r="AE130" s="1244"/>
      <c r="AF130" s="1232" t="str">
        <f>'PIM Model'!$AG$30</f>
        <v/>
      </c>
      <c r="AG130" s="1233"/>
      <c r="AH130" s="1233"/>
      <c r="AI130" s="1233"/>
      <c r="AJ130" s="1233"/>
      <c r="AK130" s="1233"/>
      <c r="AL130" s="1234"/>
      <c r="AM130" s="1232" t="str">
        <f>'PIM Model'!$AH$30</f>
        <v/>
      </c>
      <c r="AN130" s="1233"/>
      <c r="AO130" s="1233"/>
      <c r="AP130" s="1233"/>
      <c r="AQ130" s="1233"/>
      <c r="AR130" s="1233"/>
      <c r="AS130" s="1243"/>
      <c r="BF130" s="144"/>
    </row>
    <row r="131" spans="2:58" ht="16.5" thickTop="1" thickBot="1" x14ac:dyDescent="0.3">
      <c r="B131" s="143"/>
      <c r="D131" s="1223" t="s">
        <v>1061</v>
      </c>
      <c r="E131" s="1224"/>
      <c r="F131" s="1224"/>
      <c r="G131" s="1224"/>
      <c r="H131" s="1224"/>
      <c r="I131" s="1224"/>
      <c r="J131" s="1224"/>
      <c r="K131" s="1224"/>
      <c r="L131" s="1224"/>
      <c r="M131" s="1224"/>
      <c r="N131" s="1224"/>
      <c r="O131" s="1224"/>
      <c r="P131" s="1224"/>
      <c r="Q131" s="1224"/>
      <c r="R131" s="1224"/>
      <c r="S131" s="1224"/>
      <c r="T131" s="1225"/>
      <c r="U131" s="1226">
        <f>COUNT($U$110:$Y$130)</f>
        <v>0</v>
      </c>
      <c r="V131" s="1227"/>
      <c r="W131" s="1227"/>
      <c r="X131" s="1227"/>
      <c r="Y131" s="1227"/>
      <c r="Z131" s="1224">
        <f>COUNTIF($Z$110:$AE$130,"ABOVE")+COUNTIF($Z$110:$AE$130,"BELOW")</f>
        <v>0</v>
      </c>
      <c r="AA131" s="1224"/>
      <c r="AB131" s="1224"/>
      <c r="AC131" s="1224"/>
      <c r="AD131" s="1224"/>
      <c r="AE131" s="1224"/>
      <c r="AF131" s="1228"/>
      <c r="AG131" s="1229"/>
      <c r="AH131" s="1229"/>
      <c r="AI131" s="1229"/>
      <c r="AJ131" s="1229"/>
      <c r="AK131" s="1229"/>
      <c r="AL131" s="1230"/>
      <c r="AM131" s="1228"/>
      <c r="AN131" s="1229"/>
      <c r="AO131" s="1229"/>
      <c r="AP131" s="1229"/>
      <c r="AQ131" s="1229"/>
      <c r="AR131" s="1229"/>
      <c r="AS131" s="123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f>'MDA Worksheet'!$K$10</f>
        <v>0</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4" bestFit="1" customWidth="1"/>
    <col min="3" max="3" width="28" style="864" bestFit="1" customWidth="1"/>
    <col min="4" max="4" width="10.85546875" bestFit="1" customWidth="1"/>
    <col min="5" max="5" width="15.85546875" bestFit="1" customWidth="1"/>
  </cols>
  <sheetData>
    <row r="1" spans="1:5" x14ac:dyDescent="0.25">
      <c r="A1" s="864" t="s">
        <v>1230</v>
      </c>
      <c r="B1" s="864" t="s">
        <v>1233</v>
      </c>
      <c r="C1" s="864" t="s">
        <v>1234</v>
      </c>
      <c r="D1" s="22" t="s">
        <v>1231</v>
      </c>
      <c r="E1" s="22" t="s">
        <v>1232</v>
      </c>
    </row>
    <row r="2" spans="1:5" x14ac:dyDescent="0.25">
      <c r="A2" s="864" t="s">
        <v>193</v>
      </c>
      <c r="B2" s="864">
        <v>2020</v>
      </c>
      <c r="C2" s="864" t="s">
        <v>927</v>
      </c>
      <c r="D2" s="22">
        <v>2.7739631938930701E-2</v>
      </c>
      <c r="E2" s="22">
        <v>2.7125016276518699E-2</v>
      </c>
    </row>
    <row r="3" spans="1:5" x14ac:dyDescent="0.25">
      <c r="A3" s="864" t="s">
        <v>192</v>
      </c>
      <c r="B3" s="864">
        <v>2180</v>
      </c>
      <c r="C3" s="864" t="s">
        <v>79</v>
      </c>
      <c r="D3" s="22">
        <v>2.8536064274713099E-2</v>
      </c>
      <c r="E3" s="22">
        <v>2.7125016276518699E-2</v>
      </c>
    </row>
    <row r="4" spans="1:5" x14ac:dyDescent="0.25">
      <c r="A4" s="864" t="s">
        <v>191</v>
      </c>
      <c r="B4" s="864">
        <v>2160</v>
      </c>
      <c r="C4" s="864" t="s">
        <v>28</v>
      </c>
      <c r="D4" s="22">
        <v>3.1885529773458002E-2</v>
      </c>
      <c r="E4" s="22">
        <v>2.7125016276518699E-2</v>
      </c>
    </row>
    <row r="5" spans="1:5" x14ac:dyDescent="0.25">
      <c r="A5" s="864" t="s">
        <v>190</v>
      </c>
      <c r="B5" s="864">
        <v>2110</v>
      </c>
      <c r="C5" s="864" t="s">
        <v>33</v>
      </c>
      <c r="D5" s="22">
        <v>2.82674148233787E-2</v>
      </c>
      <c r="E5" s="22">
        <v>2.7125016276518699E-2</v>
      </c>
    </row>
    <row r="6" spans="1:5" x14ac:dyDescent="0.25">
      <c r="A6" s="864" t="s">
        <v>189</v>
      </c>
      <c r="B6" s="864">
        <v>2165</v>
      </c>
      <c r="C6" s="864" t="s">
        <v>81</v>
      </c>
      <c r="D6" s="22">
        <v>2.7125016276518699E-2</v>
      </c>
      <c r="E6" s="22">
        <v>2.7125016276518699E-2</v>
      </c>
    </row>
    <row r="7" spans="1:5" x14ac:dyDescent="0.25">
      <c r="A7" s="864" t="s">
        <v>188</v>
      </c>
      <c r="B7" s="864">
        <v>2170</v>
      </c>
      <c r="C7" s="864" t="s">
        <v>122</v>
      </c>
      <c r="D7" s="22">
        <v>2.59925926894349E-2</v>
      </c>
      <c r="E7" s="22">
        <v>2.7125016276518699E-2</v>
      </c>
    </row>
    <row r="8" spans="1:5" x14ac:dyDescent="0.25">
      <c r="A8" s="864" t="s">
        <v>187</v>
      </c>
      <c r="B8" s="864">
        <v>2148</v>
      </c>
      <c r="C8" s="864" t="s">
        <v>64</v>
      </c>
      <c r="D8" s="22">
        <v>2.6095112304206601E-2</v>
      </c>
      <c r="E8" s="22">
        <v>2.7125016276518699E-2</v>
      </c>
    </row>
    <row r="9" spans="1:5" x14ac:dyDescent="0.25">
      <c r="A9" s="864" t="s">
        <v>186</v>
      </c>
      <c r="B9" s="864">
        <v>2190</v>
      </c>
      <c r="C9" s="864" t="s">
        <v>19</v>
      </c>
      <c r="D9" s="22">
        <v>2.81140048372523E-2</v>
      </c>
      <c r="E9" s="22">
        <v>2.7125016276518699E-2</v>
      </c>
    </row>
    <row r="10" spans="1:5" x14ac:dyDescent="0.25">
      <c r="A10" s="864" t="s">
        <v>185</v>
      </c>
      <c r="B10" s="864">
        <v>2116</v>
      </c>
      <c r="C10" s="864" t="s">
        <v>59</v>
      </c>
      <c r="D10" s="22">
        <v>2.9944763320575302E-2</v>
      </c>
      <c r="E10" s="22">
        <v>2.7125016276518699E-2</v>
      </c>
    </row>
    <row r="11" spans="1:5" x14ac:dyDescent="0.25">
      <c r="A11" s="864" t="s">
        <v>184</v>
      </c>
      <c r="B11" s="864">
        <v>248</v>
      </c>
      <c r="C11" s="864" t="s">
        <v>1111</v>
      </c>
      <c r="D11" s="22">
        <v>2.6464657930859201E-2</v>
      </c>
      <c r="E11" s="22">
        <v>2.7125016276518699E-2</v>
      </c>
    </row>
    <row r="12" spans="1:5" x14ac:dyDescent="0.25">
      <c r="A12" s="864" t="s">
        <v>182</v>
      </c>
      <c r="B12" s="864">
        <v>2350</v>
      </c>
      <c r="C12" s="864" t="s">
        <v>39</v>
      </c>
      <c r="D12" s="22">
        <v>2.9415639585766401E-2</v>
      </c>
      <c r="E12" s="22">
        <v>2.7125016276518699E-2</v>
      </c>
    </row>
    <row r="13" spans="1:5" x14ac:dyDescent="0.25">
      <c r="A13" s="864" t="s">
        <v>181</v>
      </c>
      <c r="B13" s="864">
        <v>2345</v>
      </c>
      <c r="C13" s="864" t="s">
        <v>928</v>
      </c>
      <c r="D13" s="22">
        <v>2.6962706679612598E-2</v>
      </c>
      <c r="E13" s="22">
        <v>2.7125016276518699E-2</v>
      </c>
    </row>
    <row r="14" spans="1:5" x14ac:dyDescent="0.25">
      <c r="A14" s="864" t="s">
        <v>180</v>
      </c>
      <c r="B14" s="864">
        <v>2330</v>
      </c>
      <c r="C14" s="864" t="s">
        <v>31</v>
      </c>
      <c r="D14" s="22">
        <v>2.6792509343913602E-2</v>
      </c>
      <c r="E14" s="22">
        <v>2.7125016276518699E-2</v>
      </c>
    </row>
    <row r="15" spans="1:5" x14ac:dyDescent="0.25">
      <c r="A15" s="864" t="s">
        <v>179</v>
      </c>
      <c r="B15" s="864">
        <v>2340</v>
      </c>
      <c r="C15" s="864" t="s">
        <v>929</v>
      </c>
      <c r="D15" s="22">
        <v>2.53908115053765E-2</v>
      </c>
      <c r="E15" s="22">
        <v>2.7125016276518699E-2</v>
      </c>
    </row>
    <row r="16" spans="1:5" x14ac:dyDescent="0.25">
      <c r="A16" s="864" t="s">
        <v>178</v>
      </c>
      <c r="B16" s="864">
        <v>4100</v>
      </c>
      <c r="C16" s="864" t="s">
        <v>52</v>
      </c>
      <c r="D16" s="22">
        <v>2.9901342297929501E-2</v>
      </c>
      <c r="E16" s="22">
        <v>2.7125016276518699E-2</v>
      </c>
    </row>
    <row r="17" spans="1:5" x14ac:dyDescent="0.25">
      <c r="A17" s="864" t="s">
        <v>1126</v>
      </c>
      <c r="B17" s="864">
        <v>2355</v>
      </c>
      <c r="C17" s="864" t="s">
        <v>1127</v>
      </c>
      <c r="D17" s="22">
        <v>3.4605844000615303E-2</v>
      </c>
      <c r="E17" s="22">
        <v>2.7125016276518699E-2</v>
      </c>
    </row>
    <row r="18" spans="1:5" x14ac:dyDescent="0.25">
      <c r="A18" s="864" t="s">
        <v>177</v>
      </c>
      <c r="B18" s="864">
        <v>1054</v>
      </c>
      <c r="C18" s="864" t="s">
        <v>46</v>
      </c>
      <c r="D18" s="22">
        <v>2.8511953382644999E-2</v>
      </c>
      <c r="E18" s="22">
        <v>2.7125016276518699E-2</v>
      </c>
    </row>
    <row r="19" spans="1:5" x14ac:dyDescent="0.25">
      <c r="A19" s="864" t="s">
        <v>176</v>
      </c>
      <c r="B19" s="864">
        <v>1103</v>
      </c>
      <c r="C19" s="864" t="s">
        <v>22</v>
      </c>
      <c r="D19" s="22">
        <v>3.0860519002866901E-2</v>
      </c>
      <c r="E19" s="22">
        <v>2.7125016276518699E-2</v>
      </c>
    </row>
    <row r="20" spans="1:5" x14ac:dyDescent="0.25">
      <c r="A20" s="864" t="s">
        <v>175</v>
      </c>
      <c r="B20" s="864">
        <v>2099</v>
      </c>
      <c r="C20" s="864" t="s">
        <v>58</v>
      </c>
      <c r="D20" s="22">
        <v>2.5143112075853E-2</v>
      </c>
      <c r="E20" s="22">
        <v>2.7125016276518699E-2</v>
      </c>
    </row>
    <row r="21" spans="1:5" x14ac:dyDescent="0.25">
      <c r="A21" s="864" t="s">
        <v>174</v>
      </c>
      <c r="B21" s="864">
        <v>1104</v>
      </c>
      <c r="C21" s="864" t="s">
        <v>43</v>
      </c>
      <c r="D21" s="22">
        <v>2.9510551954597099E-2</v>
      </c>
      <c r="E21" s="22">
        <v>2.7125016276518699E-2</v>
      </c>
    </row>
    <row r="22" spans="1:5" x14ac:dyDescent="0.25">
      <c r="A22" s="864" t="s">
        <v>173</v>
      </c>
      <c r="B22" s="864">
        <v>4120</v>
      </c>
      <c r="C22" s="864" t="s">
        <v>63</v>
      </c>
      <c r="D22" s="22">
        <v>2.78821251138664E-2</v>
      </c>
      <c r="E22" s="22">
        <v>2.7125016276518699E-2</v>
      </c>
    </row>
    <row r="23" spans="1:5" x14ac:dyDescent="0.25">
      <c r="A23" s="864" t="s">
        <v>172</v>
      </c>
      <c r="B23" s="864">
        <v>4118</v>
      </c>
      <c r="C23" s="864" t="s">
        <v>30</v>
      </c>
      <c r="D23" s="22">
        <v>2.7490429003036599E-2</v>
      </c>
      <c r="E23" s="22">
        <v>2.7125016276518699E-2</v>
      </c>
    </row>
    <row r="24" spans="1:5" x14ac:dyDescent="0.25">
      <c r="A24" s="864" t="s">
        <v>171</v>
      </c>
      <c r="B24" s="864">
        <v>4146</v>
      </c>
      <c r="C24" s="864" t="s">
        <v>54</v>
      </c>
      <c r="D24" s="22">
        <v>2.6943630265373199E-2</v>
      </c>
      <c r="E24" s="22">
        <v>2.7125016276518699E-2</v>
      </c>
    </row>
    <row r="25" spans="1:5" x14ac:dyDescent="0.25">
      <c r="A25" s="864" t="s">
        <v>170</v>
      </c>
      <c r="B25" s="864">
        <v>4140</v>
      </c>
      <c r="C25" s="864" t="s">
        <v>40</v>
      </c>
      <c r="D25" s="22">
        <v>2.67651154233217E-2</v>
      </c>
      <c r="E25" s="22">
        <v>2.7125016276518699E-2</v>
      </c>
    </row>
    <row r="26" spans="1:5" x14ac:dyDescent="0.25">
      <c r="A26" s="864" t="s">
        <v>169</v>
      </c>
      <c r="B26" s="864">
        <v>4117</v>
      </c>
      <c r="C26" s="864" t="s">
        <v>17</v>
      </c>
      <c r="D26" s="22">
        <v>2.6616857866198201E-2</v>
      </c>
      <c r="E26" s="22">
        <v>2.7125016276518699E-2</v>
      </c>
    </row>
    <row r="27" spans="1:5" x14ac:dyDescent="0.25">
      <c r="A27" s="864" t="s">
        <v>168</v>
      </c>
      <c r="B27" s="864">
        <v>4147</v>
      </c>
      <c r="C27" s="864" t="s">
        <v>1272</v>
      </c>
      <c r="D27" s="22">
        <v>2.9100000000000001E-2</v>
      </c>
      <c r="E27" s="22">
        <v>2.7125016276518699E-2</v>
      </c>
    </row>
    <row r="28" spans="1:5" x14ac:dyDescent="0.25">
      <c r="A28" s="864" t="s">
        <v>167</v>
      </c>
      <c r="B28" s="864">
        <v>4110</v>
      </c>
      <c r="C28" s="864" t="s">
        <v>73</v>
      </c>
      <c r="D28" s="22">
        <v>2.65128206477999E-2</v>
      </c>
      <c r="E28" s="22">
        <v>2.7125016276518699E-2</v>
      </c>
    </row>
    <row r="29" spans="1:5" x14ac:dyDescent="0.25">
      <c r="A29" s="864" t="s">
        <v>166</v>
      </c>
      <c r="B29" s="864">
        <v>4150</v>
      </c>
      <c r="C29" s="864" t="s">
        <v>55</v>
      </c>
      <c r="D29" s="22">
        <v>2.3355361617324301E-2</v>
      </c>
      <c r="E29" s="22">
        <v>2.7125016276518699E-2</v>
      </c>
    </row>
    <row r="30" spans="1:5" x14ac:dyDescent="0.25">
      <c r="A30" s="864" t="s">
        <v>165</v>
      </c>
      <c r="B30" s="864">
        <v>3190</v>
      </c>
      <c r="C30" s="864" t="s">
        <v>27</v>
      </c>
      <c r="D30" s="22">
        <v>2.8324561503501499E-2</v>
      </c>
      <c r="E30" s="22">
        <v>2.7125016276518699E-2</v>
      </c>
    </row>
    <row r="31" spans="1:5" x14ac:dyDescent="0.25">
      <c r="A31" s="864" t="s">
        <v>164</v>
      </c>
      <c r="B31" s="864">
        <v>2260</v>
      </c>
      <c r="C31" s="864" t="s">
        <v>10</v>
      </c>
      <c r="D31" s="22">
        <v>2.59598075038967E-2</v>
      </c>
      <c r="E31" s="22">
        <v>2.7125016276518699E-2</v>
      </c>
    </row>
    <row r="32" spans="1:5" x14ac:dyDescent="0.25">
      <c r="A32" s="864" t="s">
        <v>163</v>
      </c>
      <c r="B32" s="864">
        <v>2210</v>
      </c>
      <c r="C32" s="864" t="s">
        <v>121</v>
      </c>
      <c r="D32" s="22">
        <v>2.3893251208070801E-2</v>
      </c>
      <c r="E32" s="22">
        <v>2.7125016276518699E-2</v>
      </c>
    </row>
    <row r="33" spans="1:5" x14ac:dyDescent="0.25">
      <c r="A33" s="864" t="s">
        <v>162</v>
      </c>
      <c r="B33" s="864">
        <v>2240</v>
      </c>
      <c r="C33" s="864" t="s">
        <v>16</v>
      </c>
      <c r="D33" s="22">
        <v>2.74803575467139E-2</v>
      </c>
      <c r="E33" s="22">
        <v>2.7125016276518699E-2</v>
      </c>
    </row>
    <row r="34" spans="1:5" x14ac:dyDescent="0.25">
      <c r="A34" s="864" t="s">
        <v>161</v>
      </c>
      <c r="B34" s="864">
        <v>2220</v>
      </c>
      <c r="C34" s="864" t="s">
        <v>5</v>
      </c>
      <c r="D34" s="22">
        <v>2.5343147655549899E-2</v>
      </c>
      <c r="E34" s="22">
        <v>2.7125016276518699E-2</v>
      </c>
    </row>
    <row r="35" spans="1:5" x14ac:dyDescent="0.25">
      <c r="A35" s="864" t="s">
        <v>160</v>
      </c>
      <c r="B35" s="864">
        <v>2125</v>
      </c>
      <c r="C35" s="864" t="s">
        <v>21</v>
      </c>
      <c r="D35" s="22">
        <v>2.6682633749483799E-2</v>
      </c>
      <c r="E35" s="22">
        <v>2.7125016276518699E-2</v>
      </c>
    </row>
    <row r="36" spans="1:5" x14ac:dyDescent="0.25">
      <c r="A36" s="864" t="s">
        <v>159</v>
      </c>
      <c r="B36" s="864">
        <v>2230</v>
      </c>
      <c r="C36" s="864" t="s">
        <v>49</v>
      </c>
      <c r="D36" s="22">
        <v>2.67508594907159E-2</v>
      </c>
      <c r="E36" s="22">
        <v>2.7125016276518699E-2</v>
      </c>
    </row>
    <row r="37" spans="1:5" x14ac:dyDescent="0.25">
      <c r="A37" s="864" t="s">
        <v>158</v>
      </c>
      <c r="B37" s="864">
        <v>3055</v>
      </c>
      <c r="C37" s="864" t="s">
        <v>7</v>
      </c>
      <c r="D37" s="22">
        <v>2.2915815988E-2</v>
      </c>
      <c r="E37" s="22">
        <v>2.7125016276518699E-2</v>
      </c>
    </row>
    <row r="38" spans="1:5" x14ac:dyDescent="0.25">
      <c r="A38" s="864" t="s">
        <v>1128</v>
      </c>
      <c r="B38" s="864">
        <v>2365</v>
      </c>
      <c r="C38" s="864" t="s">
        <v>1129</v>
      </c>
      <c r="D38" s="22">
        <v>2.87892046246566E-2</v>
      </c>
      <c r="E38" s="22">
        <v>2.7125016276518699E-2</v>
      </c>
    </row>
    <row r="39" spans="1:5" x14ac:dyDescent="0.25">
      <c r="A39" s="864" t="s">
        <v>157</v>
      </c>
      <c r="B39" s="864">
        <v>2250</v>
      </c>
      <c r="C39" s="864" t="s">
        <v>32</v>
      </c>
      <c r="D39" s="22">
        <v>2.5661957357599401E-2</v>
      </c>
      <c r="E39" s="22">
        <v>2.7125016276518699E-2</v>
      </c>
    </row>
    <row r="40" spans="1:5" x14ac:dyDescent="0.25">
      <c r="A40" s="864" t="s">
        <v>156</v>
      </c>
      <c r="B40" s="864">
        <v>3051</v>
      </c>
      <c r="C40" s="864" t="s">
        <v>76</v>
      </c>
      <c r="D40" s="22">
        <v>2.9814972600597098E-2</v>
      </c>
      <c r="E40" s="22">
        <v>2.7125016276518699E-2</v>
      </c>
    </row>
    <row r="41" spans="1:5" x14ac:dyDescent="0.25">
      <c r="A41" s="864" t="s">
        <v>155</v>
      </c>
      <c r="B41" s="864">
        <v>2370</v>
      </c>
      <c r="C41" s="864" t="s">
        <v>77</v>
      </c>
      <c r="D41" s="22">
        <v>2.35030648067363E-2</v>
      </c>
      <c r="E41" s="22">
        <v>2.7125016276518699E-2</v>
      </c>
    </row>
    <row r="42" spans="1:5" x14ac:dyDescent="0.25">
      <c r="A42" s="864" t="s">
        <v>154</v>
      </c>
      <c r="B42" s="864">
        <v>2135</v>
      </c>
      <c r="C42" s="864" t="s">
        <v>25</v>
      </c>
      <c r="D42" s="22">
        <v>2.6421829910205499E-2</v>
      </c>
      <c r="E42" s="22">
        <v>2.7125016276518699E-2</v>
      </c>
    </row>
    <row r="43" spans="1:5" x14ac:dyDescent="0.25">
      <c r="A43" s="864" t="s">
        <v>153</v>
      </c>
      <c r="B43" s="864">
        <v>2270</v>
      </c>
      <c r="C43" s="864" t="s">
        <v>2</v>
      </c>
      <c r="D43" s="22">
        <v>2.3666354884089899E-2</v>
      </c>
      <c r="E43" s="22">
        <v>2.7125016276518699E-2</v>
      </c>
    </row>
    <row r="44" spans="1:5" x14ac:dyDescent="0.25">
      <c r="A44" s="864" t="s">
        <v>152</v>
      </c>
      <c r="B44" s="864">
        <v>3230</v>
      </c>
      <c r="C44" s="864" t="s">
        <v>37</v>
      </c>
      <c r="D44" s="22">
        <v>2.6730080332460899E-2</v>
      </c>
      <c r="E44" s="22">
        <v>2.7125016276518699E-2</v>
      </c>
    </row>
    <row r="45" spans="1:5" x14ac:dyDescent="0.25">
      <c r="A45" s="864" t="s">
        <v>151</v>
      </c>
      <c r="B45" s="864">
        <v>3170</v>
      </c>
      <c r="C45" s="864" t="s">
        <v>24</v>
      </c>
      <c r="D45" s="22">
        <v>2.7054357310372E-2</v>
      </c>
      <c r="E45" s="22">
        <v>2.7125016276518699E-2</v>
      </c>
    </row>
    <row r="46" spans="1:5" x14ac:dyDescent="0.25">
      <c r="A46" s="864" t="s">
        <v>150</v>
      </c>
      <c r="B46" s="864">
        <v>3120</v>
      </c>
      <c r="C46" s="864" t="s">
        <v>68</v>
      </c>
      <c r="D46" s="22">
        <v>2.6123399008142499E-2</v>
      </c>
      <c r="E46" s="22">
        <v>2.7125016276518699E-2</v>
      </c>
    </row>
    <row r="47" spans="1:5" x14ac:dyDescent="0.25">
      <c r="A47" s="864" t="s">
        <v>149</v>
      </c>
      <c r="B47" s="864">
        <v>3186</v>
      </c>
      <c r="C47" s="864" t="s">
        <v>65</v>
      </c>
      <c r="D47" s="22">
        <v>2.8135776475119102E-2</v>
      </c>
      <c r="E47" s="22">
        <v>2.7125016276518699E-2</v>
      </c>
    </row>
    <row r="48" spans="1:5" x14ac:dyDescent="0.25">
      <c r="A48" s="864" t="s">
        <v>148</v>
      </c>
      <c r="B48" s="864">
        <v>3160</v>
      </c>
      <c r="C48" s="864" t="s">
        <v>50</v>
      </c>
      <c r="D48" s="22">
        <v>2.8067018330258899E-2</v>
      </c>
      <c r="E48" s="22">
        <v>2.7125016276518699E-2</v>
      </c>
    </row>
    <row r="49" spans="1:5" x14ac:dyDescent="0.25">
      <c r="A49" s="864" t="s">
        <v>147</v>
      </c>
      <c r="B49" s="864">
        <v>3150</v>
      </c>
      <c r="C49" s="864" t="s">
        <v>26</v>
      </c>
      <c r="D49" s="22">
        <v>2.6046662387047999E-2</v>
      </c>
      <c r="E49" s="22">
        <v>2.7125016276518699E-2</v>
      </c>
    </row>
    <row r="50" spans="1:5" x14ac:dyDescent="0.25">
      <c r="A50" s="864" t="s">
        <v>146</v>
      </c>
      <c r="B50" s="864">
        <v>3126</v>
      </c>
      <c r="C50" s="864" t="s">
        <v>80</v>
      </c>
      <c r="D50" s="22">
        <v>2.4500408399063801E-2</v>
      </c>
      <c r="E50" s="22">
        <v>2.7125016276518699E-2</v>
      </c>
    </row>
    <row r="51" spans="1:5" x14ac:dyDescent="0.25">
      <c r="A51" s="864" t="s">
        <v>145</v>
      </c>
      <c r="B51" s="864">
        <v>3023</v>
      </c>
      <c r="C51" s="864" t="s">
        <v>42</v>
      </c>
      <c r="D51" s="22">
        <v>2.72264414110285E-2</v>
      </c>
      <c r="E51" s="22">
        <v>2.7125016276518699E-2</v>
      </c>
    </row>
    <row r="52" spans="1:5" x14ac:dyDescent="0.25">
      <c r="A52" s="864" t="s">
        <v>144</v>
      </c>
      <c r="B52" s="864">
        <v>2185</v>
      </c>
      <c r="C52" s="864" t="s">
        <v>53</v>
      </c>
      <c r="D52" s="22">
        <v>2.59344882196802E-2</v>
      </c>
      <c r="E52" s="22">
        <v>2.7125016276518699E-2</v>
      </c>
    </row>
    <row r="53" spans="1:5" x14ac:dyDescent="0.25">
      <c r="A53" s="864" t="s">
        <v>143</v>
      </c>
      <c r="B53" s="864">
        <v>1106</v>
      </c>
      <c r="C53" s="864" t="s">
        <v>67</v>
      </c>
      <c r="D53" s="22">
        <v>2.8050323067163201E-2</v>
      </c>
      <c r="E53" s="22">
        <v>2.7125016276518699E-2</v>
      </c>
    </row>
    <row r="54" spans="1:5" x14ac:dyDescent="0.25">
      <c r="A54" s="864" t="s">
        <v>142</v>
      </c>
      <c r="B54" s="864">
        <v>3135</v>
      </c>
      <c r="C54" s="864" t="s">
        <v>29</v>
      </c>
      <c r="D54" s="22">
        <v>2.16945751008298E-2</v>
      </c>
      <c r="E54" s="22">
        <v>2.7125016276518699E-2</v>
      </c>
    </row>
    <row r="55" spans="1:5" x14ac:dyDescent="0.25">
      <c r="A55" s="864" t="s">
        <v>385</v>
      </c>
      <c r="B55" s="864">
        <v>3139</v>
      </c>
      <c r="C55" s="864" t="s">
        <v>250</v>
      </c>
      <c r="D55" s="22">
        <v>2.8207940601015499E-2</v>
      </c>
      <c r="E55" s="22">
        <v>2.7125016276518699E-2</v>
      </c>
    </row>
    <row r="56" spans="1:5" x14ac:dyDescent="0.25">
      <c r="A56" s="864" t="s">
        <v>141</v>
      </c>
      <c r="B56" s="864">
        <v>3147</v>
      </c>
      <c r="C56" s="864" t="s">
        <v>51</v>
      </c>
      <c r="D56" s="22">
        <v>2.5867145176892099E-2</v>
      </c>
      <c r="E56" s="22">
        <v>2.7125016276518699E-2</v>
      </c>
    </row>
    <row r="57" spans="1:5" x14ac:dyDescent="0.25">
      <c r="A57" s="864" t="s">
        <v>140</v>
      </c>
      <c r="B57" s="864">
        <v>3210</v>
      </c>
      <c r="C57" s="864" t="s">
        <v>47</v>
      </c>
      <c r="D57" s="22">
        <v>2.74445239361195E-2</v>
      </c>
      <c r="E57" s="22">
        <v>2.7125016276518699E-2</v>
      </c>
    </row>
    <row r="58" spans="1:5" x14ac:dyDescent="0.25">
      <c r="A58" s="864" t="s">
        <v>139</v>
      </c>
      <c r="B58" s="864">
        <v>1933</v>
      </c>
      <c r="C58" s="864" t="s">
        <v>56</v>
      </c>
      <c r="D58" s="22">
        <v>2.4213377365114599E-2</v>
      </c>
      <c r="E58" s="22">
        <v>2.7125016276518699E-2</v>
      </c>
    </row>
    <row r="59" spans="1:5" x14ac:dyDescent="0.25">
      <c r="A59" s="864" t="s">
        <v>138</v>
      </c>
      <c r="B59" s="864">
        <v>2140</v>
      </c>
      <c r="C59" s="864" t="s">
        <v>12</v>
      </c>
      <c r="D59" s="22">
        <v>2.7858540698883199E-2</v>
      </c>
      <c r="E59" s="22">
        <v>2.7125016276518699E-2</v>
      </c>
    </row>
    <row r="60" spans="1:5" x14ac:dyDescent="0.25">
      <c r="A60" s="864" t="s">
        <v>137</v>
      </c>
      <c r="B60" s="864">
        <v>3103</v>
      </c>
      <c r="C60" s="864" t="s">
        <v>57</v>
      </c>
      <c r="D60" s="22">
        <v>2.4165289961531701E-2</v>
      </c>
      <c r="E60" s="22">
        <v>2.7125016276518699E-2</v>
      </c>
    </row>
    <row r="61" spans="1:5" x14ac:dyDescent="0.25">
      <c r="A61" s="864" t="s">
        <v>136</v>
      </c>
      <c r="B61" s="864">
        <v>2360</v>
      </c>
      <c r="C61" s="864" t="s">
        <v>72</v>
      </c>
      <c r="D61" s="22">
        <v>2.4943884894722299E-2</v>
      </c>
      <c r="E61" s="22">
        <v>2.7125016276518699E-2</v>
      </c>
    </row>
    <row r="62" spans="1:5" s="945" customFormat="1" x14ac:dyDescent="0.25">
      <c r="A62" s="945" t="s">
        <v>1270</v>
      </c>
      <c r="B62" s="945">
        <v>4170</v>
      </c>
      <c r="C62" s="945" t="s">
        <v>1271</v>
      </c>
      <c r="D62" s="22">
        <v>2.8799999999999999E-2</v>
      </c>
      <c r="E62" s="22">
        <v>2.7125016276518699E-2</v>
      </c>
    </row>
    <row r="63" spans="1:5" x14ac:dyDescent="0.25">
      <c r="A63" s="864" t="s">
        <v>134</v>
      </c>
      <c r="B63" s="864">
        <v>3220</v>
      </c>
      <c r="C63" s="864"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heetViews>
  <sheetFormatPr defaultRowHeight="15" x14ac:dyDescent="0.25"/>
  <cols>
    <col min="1" max="1" width="10.28515625" style="1011" bestFit="1" customWidth="1"/>
    <col min="2" max="2" width="9.85546875" style="1011" bestFit="1" customWidth="1"/>
    <col min="3" max="16384" width="9.140625" style="1011"/>
  </cols>
  <sheetData>
    <row r="1" spans="1:2" x14ac:dyDescent="0.25">
      <c r="A1" s="801" t="s">
        <v>1118</v>
      </c>
      <c r="B1" s="801" t="s">
        <v>1117</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B1"/>
  <sheetViews>
    <sheetView workbookViewId="0"/>
  </sheetViews>
  <sheetFormatPr defaultRowHeight="15" x14ac:dyDescent="0.25"/>
  <cols>
    <col min="1" max="1" width="10.28515625" style="1011" bestFit="1" customWidth="1"/>
    <col min="2" max="2" width="9.85546875" style="1011" bestFit="1" customWidth="1"/>
    <col min="3" max="16384" width="9.140625" style="1011"/>
  </cols>
  <sheetData>
    <row r="1" spans="1:2" x14ac:dyDescent="0.25">
      <c r="A1" s="801" t="s">
        <v>1118</v>
      </c>
      <c r="B1" s="801" t="s">
        <v>1117</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2"/>
  <sheetViews>
    <sheetView topLeftCell="Z1" workbookViewId="0">
      <selection activeCell="AC1" sqref="AC1"/>
    </sheetView>
  </sheetViews>
  <sheetFormatPr defaultRowHeight="15" x14ac:dyDescent="0.25"/>
  <cols>
    <col min="1" max="1" width="10.28515625" style="1011" bestFit="1" customWidth="1"/>
    <col min="2" max="2" width="9.85546875" style="1011" bestFit="1" customWidth="1"/>
    <col min="3" max="3" width="20.42578125" style="1011" bestFit="1" customWidth="1"/>
    <col min="4" max="4" width="25" style="1011" bestFit="1" customWidth="1"/>
    <col min="5" max="5" width="16" style="1011" bestFit="1" customWidth="1"/>
    <col min="6" max="6" width="18" style="1011" bestFit="1" customWidth="1"/>
    <col min="7" max="7" width="23.28515625" style="1011" bestFit="1" customWidth="1"/>
    <col min="8" max="8" width="16.42578125" style="1011" bestFit="1" customWidth="1"/>
    <col min="9" max="9" width="9.5703125" style="1011" bestFit="1" customWidth="1"/>
    <col min="10" max="10" width="6.7109375" style="1011" bestFit="1" customWidth="1"/>
    <col min="11" max="11" width="14.7109375" style="1011" bestFit="1" customWidth="1"/>
    <col min="12" max="12" width="15.85546875" style="1011" bestFit="1" customWidth="1"/>
    <col min="13" max="13" width="12.42578125" style="1011" bestFit="1" customWidth="1"/>
    <col min="14" max="14" width="24.42578125" style="1011" bestFit="1" customWidth="1"/>
    <col min="15" max="15" width="9.5703125" style="1011" bestFit="1" customWidth="1"/>
    <col min="16" max="16" width="27" style="1011" bestFit="1" customWidth="1"/>
    <col min="17" max="17" width="29.140625" style="1011" bestFit="1" customWidth="1"/>
    <col min="18" max="18" width="17" style="1011" bestFit="1" customWidth="1"/>
    <col min="19" max="19" width="24.5703125" style="1011" bestFit="1" customWidth="1"/>
    <col min="20" max="20" width="36.28515625" style="1011" bestFit="1" customWidth="1"/>
    <col min="21" max="21" width="37.42578125" style="1011" bestFit="1" customWidth="1"/>
    <col min="22" max="22" width="5.85546875" style="1011" bestFit="1" customWidth="1"/>
    <col min="23" max="23" width="4.85546875" style="1011" bestFit="1" customWidth="1"/>
    <col min="24" max="24" width="6.28515625" style="1011" bestFit="1" customWidth="1"/>
    <col min="25" max="26" width="11" style="1011" bestFit="1" customWidth="1"/>
    <col min="27" max="27" width="16.42578125" style="1011" bestFit="1" customWidth="1"/>
    <col min="28" max="28" width="10.5703125" style="1011" bestFit="1" customWidth="1"/>
    <col min="29" max="16384" width="9.140625" style="1011"/>
  </cols>
  <sheetData>
    <row r="1" spans="1:28" x14ac:dyDescent="0.25">
      <c r="A1" s="801" t="s">
        <v>1118</v>
      </c>
      <c r="B1" s="801" t="s">
        <v>1117</v>
      </c>
      <c r="C1" s="801" t="s">
        <v>1142</v>
      </c>
      <c r="D1" s="801" t="s">
        <v>1143</v>
      </c>
      <c r="E1" s="801" t="s">
        <v>1144</v>
      </c>
      <c r="F1" s="801" t="s">
        <v>1145</v>
      </c>
      <c r="G1" s="801" t="s">
        <v>1146</v>
      </c>
      <c r="H1" s="801" t="s">
        <v>1147</v>
      </c>
      <c r="I1" s="801" t="s">
        <v>1141</v>
      </c>
      <c r="J1" s="801" t="s">
        <v>1148</v>
      </c>
      <c r="K1" s="801" t="s">
        <v>1149</v>
      </c>
      <c r="L1" s="801" t="s">
        <v>1150</v>
      </c>
      <c r="M1" s="801" t="s">
        <v>1151</v>
      </c>
      <c r="N1" s="801" t="s">
        <v>1152</v>
      </c>
      <c r="O1" s="801" t="s">
        <v>1153</v>
      </c>
      <c r="P1" s="801" t="s">
        <v>1154</v>
      </c>
      <c r="Q1" s="801" t="s">
        <v>1155</v>
      </c>
      <c r="R1" s="801" t="s">
        <v>1156</v>
      </c>
      <c r="S1" s="801" t="s">
        <v>1157</v>
      </c>
      <c r="T1" s="801" t="s">
        <v>1158</v>
      </c>
      <c r="U1" s="801" t="s">
        <v>1159</v>
      </c>
      <c r="V1" s="801" t="s">
        <v>412</v>
      </c>
      <c r="W1" s="801" t="s">
        <v>1139</v>
      </c>
      <c r="X1" s="801" t="s">
        <v>1160</v>
      </c>
      <c r="Y1" s="801" t="s">
        <v>1161</v>
      </c>
      <c r="Z1" s="801" t="s">
        <v>1162</v>
      </c>
      <c r="AA1" s="801" t="s">
        <v>1163</v>
      </c>
      <c r="AB1" s="801" t="s">
        <v>1112</v>
      </c>
    </row>
    <row r="2" spans="1:28" x14ac:dyDescent="0.25">
      <c r="A2" s="1011">
        <v>0</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2"/>
  <sheetViews>
    <sheetView topLeftCell="E1" workbookViewId="0">
      <selection activeCell="G1" sqref="G1"/>
    </sheetView>
  </sheetViews>
  <sheetFormatPr defaultRowHeight="15" x14ac:dyDescent="0.25"/>
  <cols>
    <col min="1" max="1" width="9.85546875" style="1011" bestFit="1" customWidth="1"/>
    <col min="2" max="2" width="10.28515625" style="1011" bestFit="1" customWidth="1"/>
    <col min="3" max="3" width="33.42578125" style="1011" bestFit="1" customWidth="1"/>
    <col min="4" max="4" width="32.28515625" style="1011" bestFit="1" customWidth="1"/>
    <col min="5" max="5" width="36.85546875" style="1011" bestFit="1" customWidth="1"/>
    <col min="6" max="6" width="14.5703125" style="1011" bestFit="1" customWidth="1"/>
    <col min="7" max="16384" width="9.140625" style="1011"/>
  </cols>
  <sheetData>
    <row r="1" spans="1:6" x14ac:dyDescent="0.25">
      <c r="A1" s="801" t="s">
        <v>1117</v>
      </c>
      <c r="B1" s="801" t="s">
        <v>1118</v>
      </c>
      <c r="C1" s="801" t="s">
        <v>1182</v>
      </c>
      <c r="D1" s="801" t="s">
        <v>1183</v>
      </c>
      <c r="E1" s="801" t="s">
        <v>1184</v>
      </c>
      <c r="F1" s="801" t="s">
        <v>1185</v>
      </c>
    </row>
    <row r="2" spans="1:6" x14ac:dyDescent="0.25">
      <c r="B2" s="1011">
        <v>0</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710"/>
  <sheetViews>
    <sheetView workbookViewId="0">
      <selection activeCell="G1" sqref="G1"/>
    </sheetView>
  </sheetViews>
  <sheetFormatPr defaultRowHeight="15" x14ac:dyDescent="0.25"/>
  <cols>
    <col min="1" max="1" width="10.28515625" style="1011" bestFit="1" customWidth="1"/>
    <col min="2" max="2" width="31.7109375" style="1011" bestFit="1" customWidth="1"/>
    <col min="3" max="3" width="28.140625" style="1011" bestFit="1" customWidth="1"/>
    <col min="4" max="4" width="21.42578125" style="1011" bestFit="1" customWidth="1"/>
    <col min="5" max="5" width="4.140625" style="1011" bestFit="1" customWidth="1"/>
    <col min="6" max="6" width="9.5703125" style="1011" bestFit="1" customWidth="1"/>
    <col min="7" max="16384" width="9.140625" style="1011"/>
  </cols>
  <sheetData>
    <row r="1" spans="1:6" x14ac:dyDescent="0.25">
      <c r="A1" s="801" t="s">
        <v>1118</v>
      </c>
      <c r="B1" s="801" t="s">
        <v>1117</v>
      </c>
      <c r="C1" s="801" t="s">
        <v>1138</v>
      </c>
      <c r="D1" s="801" t="s">
        <v>1139</v>
      </c>
      <c r="E1" s="801" t="s">
        <v>1140</v>
      </c>
      <c r="F1" s="801" t="s">
        <v>1141</v>
      </c>
    </row>
    <row r="2" spans="1:6" x14ac:dyDescent="0.25">
      <c r="A2" s="1011">
        <v>24124513</v>
      </c>
      <c r="B2" s="1011" t="s">
        <v>1580</v>
      </c>
      <c r="C2" s="1011" t="s">
        <v>1581</v>
      </c>
      <c r="D2" s="1011" t="s">
        <v>1582</v>
      </c>
      <c r="E2" s="1011" t="s">
        <v>1583</v>
      </c>
      <c r="F2" s="1011" t="s">
        <v>1584</v>
      </c>
    </row>
    <row r="3" spans="1:6" x14ac:dyDescent="0.25">
      <c r="A3" s="1011">
        <v>74126079</v>
      </c>
      <c r="B3" s="1011" t="s">
        <v>1585</v>
      </c>
      <c r="C3" s="1011" t="s">
        <v>1586</v>
      </c>
      <c r="D3" s="1011" t="s">
        <v>1587</v>
      </c>
      <c r="E3" s="1011" t="s">
        <v>1588</v>
      </c>
      <c r="F3" s="1011" t="s">
        <v>1589</v>
      </c>
    </row>
    <row r="4" spans="1:6" x14ac:dyDescent="0.25">
      <c r="A4" s="1011">
        <v>74123944</v>
      </c>
      <c r="B4" s="1011" t="s">
        <v>1590</v>
      </c>
      <c r="C4" s="1011" t="s">
        <v>1591</v>
      </c>
      <c r="D4" s="1011" t="s">
        <v>1592</v>
      </c>
      <c r="E4" s="1011" t="s">
        <v>1593</v>
      </c>
      <c r="F4" s="1011" t="s">
        <v>1367</v>
      </c>
    </row>
    <row r="5" spans="1:6" x14ac:dyDescent="0.25">
      <c r="A5" s="1011">
        <v>94125820</v>
      </c>
      <c r="B5" s="1011" t="s">
        <v>1594</v>
      </c>
      <c r="C5" s="1011" t="s">
        <v>1595</v>
      </c>
      <c r="D5" s="1011" t="s">
        <v>1596</v>
      </c>
      <c r="E5" s="1011" t="s">
        <v>1593</v>
      </c>
      <c r="F5" s="1011" t="s">
        <v>1351</v>
      </c>
    </row>
    <row r="6" spans="1:6" x14ac:dyDescent="0.25">
      <c r="A6" s="1011">
        <v>54124482</v>
      </c>
      <c r="B6" s="1011" t="s">
        <v>1597</v>
      </c>
      <c r="C6" s="1011" t="s">
        <v>1598</v>
      </c>
      <c r="D6" s="1011" t="s">
        <v>1599</v>
      </c>
      <c r="E6" s="1011" t="s">
        <v>1593</v>
      </c>
      <c r="F6" s="1011" t="s">
        <v>1377</v>
      </c>
    </row>
    <row r="7" spans="1:6" x14ac:dyDescent="0.25">
      <c r="A7" s="1011">
        <v>4125084</v>
      </c>
      <c r="B7" s="1011" t="s">
        <v>1600</v>
      </c>
      <c r="C7" s="1011" t="s">
        <v>1601</v>
      </c>
      <c r="D7" s="1011" t="s">
        <v>1602</v>
      </c>
      <c r="E7" s="1011" t="s">
        <v>1583</v>
      </c>
      <c r="F7" s="1011" t="s">
        <v>1457</v>
      </c>
    </row>
    <row r="8" spans="1:6" x14ac:dyDescent="0.25">
      <c r="A8" s="1011">
        <v>24124042</v>
      </c>
      <c r="B8" s="1011" t="s">
        <v>1603</v>
      </c>
      <c r="C8" s="1011" t="s">
        <v>1604</v>
      </c>
      <c r="D8" s="1011" t="s">
        <v>1605</v>
      </c>
      <c r="E8" s="1011" t="s">
        <v>1593</v>
      </c>
      <c r="F8" s="1011" t="s">
        <v>1606</v>
      </c>
    </row>
    <row r="9" spans="1:6" x14ac:dyDescent="0.25">
      <c r="A9" s="1011">
        <v>44123883</v>
      </c>
      <c r="B9" s="1011" t="s">
        <v>1607</v>
      </c>
      <c r="C9" s="1011" t="s">
        <v>1608</v>
      </c>
      <c r="D9" s="1011" t="s">
        <v>1602</v>
      </c>
      <c r="E9" s="1011" t="s">
        <v>1593</v>
      </c>
      <c r="F9" s="1011" t="s">
        <v>1417</v>
      </c>
    </row>
    <row r="10" spans="1:6" x14ac:dyDescent="0.25">
      <c r="A10" s="1011">
        <v>74154733</v>
      </c>
      <c r="B10" s="1011" t="s">
        <v>1609</v>
      </c>
      <c r="C10" s="1011" t="s">
        <v>1610</v>
      </c>
      <c r="D10" s="1011" t="s">
        <v>1611</v>
      </c>
      <c r="E10" s="1011" t="s">
        <v>1612</v>
      </c>
      <c r="F10" s="1011" t="s">
        <v>1613</v>
      </c>
    </row>
    <row r="11" spans="1:6" x14ac:dyDescent="0.25">
      <c r="A11" s="1011">
        <v>64125941</v>
      </c>
      <c r="B11" s="1011" t="s">
        <v>1614</v>
      </c>
      <c r="C11" s="1011" t="s">
        <v>1615</v>
      </c>
      <c r="D11" s="1011" t="s">
        <v>1125</v>
      </c>
      <c r="E11" s="1011" t="s">
        <v>1588</v>
      </c>
      <c r="F11" s="1011" t="s">
        <v>1616</v>
      </c>
    </row>
    <row r="12" spans="1:6" x14ac:dyDescent="0.25">
      <c r="A12" s="1011">
        <v>34125351</v>
      </c>
      <c r="B12" s="1011" t="s">
        <v>1617</v>
      </c>
      <c r="C12" s="1011" t="s">
        <v>1618</v>
      </c>
      <c r="D12" s="1011" t="s">
        <v>1125</v>
      </c>
      <c r="E12" s="1011" t="s">
        <v>1588</v>
      </c>
      <c r="F12" s="1011" t="s">
        <v>1619</v>
      </c>
    </row>
    <row r="13" spans="1:6" x14ac:dyDescent="0.25">
      <c r="A13" s="1011">
        <v>24123515</v>
      </c>
      <c r="B13" s="1011" t="s">
        <v>1620</v>
      </c>
      <c r="C13" s="1011" t="s">
        <v>1621</v>
      </c>
      <c r="D13" s="1011" t="s">
        <v>1127</v>
      </c>
      <c r="E13" s="1011" t="s">
        <v>1593</v>
      </c>
      <c r="F13" s="1011" t="s">
        <v>1383</v>
      </c>
    </row>
    <row r="14" spans="1:6" x14ac:dyDescent="0.25">
      <c r="A14" s="1011">
        <v>4125845</v>
      </c>
      <c r="B14" s="1011" t="s">
        <v>1622</v>
      </c>
      <c r="C14" s="1011" t="s">
        <v>1623</v>
      </c>
      <c r="D14" s="1011" t="s">
        <v>1624</v>
      </c>
      <c r="E14" s="1011" t="s">
        <v>1612</v>
      </c>
      <c r="F14" s="1011" t="s">
        <v>1625</v>
      </c>
    </row>
    <row r="15" spans="1:6" x14ac:dyDescent="0.25">
      <c r="A15" s="1011">
        <v>34144451</v>
      </c>
      <c r="B15" s="1011" t="s">
        <v>1626</v>
      </c>
      <c r="C15" s="1011" t="s">
        <v>1627</v>
      </c>
      <c r="D15" s="1011" t="s">
        <v>1628</v>
      </c>
      <c r="E15" s="1011" t="s">
        <v>1583</v>
      </c>
      <c r="F15" s="1011" t="s">
        <v>1629</v>
      </c>
    </row>
    <row r="16" spans="1:6" x14ac:dyDescent="0.25">
      <c r="A16" s="1011">
        <v>34123794</v>
      </c>
      <c r="B16" s="1011" t="s">
        <v>1630</v>
      </c>
      <c r="C16" s="1011" t="s">
        <v>1631</v>
      </c>
      <c r="D16" s="1011" t="s">
        <v>1127</v>
      </c>
      <c r="E16" s="1011" t="s">
        <v>1593</v>
      </c>
      <c r="F16" s="1011" t="s">
        <v>1461</v>
      </c>
    </row>
    <row r="17" spans="1:6" x14ac:dyDescent="0.25">
      <c r="A17" s="1011">
        <v>64246879</v>
      </c>
      <c r="B17" s="1011" t="s">
        <v>1632</v>
      </c>
      <c r="C17" s="1011" t="s">
        <v>1633</v>
      </c>
      <c r="D17" s="1011" t="s">
        <v>1634</v>
      </c>
      <c r="E17" s="1011" t="s">
        <v>1593</v>
      </c>
      <c r="F17" s="1011" t="s">
        <v>1405</v>
      </c>
    </row>
    <row r="18" spans="1:6" x14ac:dyDescent="0.25">
      <c r="A18" s="1011">
        <v>24123804</v>
      </c>
      <c r="B18" s="1011" t="s">
        <v>1635</v>
      </c>
      <c r="C18" s="1011" t="s">
        <v>1636</v>
      </c>
      <c r="D18" s="1011" t="s">
        <v>1637</v>
      </c>
      <c r="E18" s="1011" t="s">
        <v>1593</v>
      </c>
      <c r="F18" s="1011" t="s">
        <v>1638</v>
      </c>
    </row>
    <row r="19" spans="1:6" x14ac:dyDescent="0.25">
      <c r="A19" s="1011">
        <v>24124273</v>
      </c>
      <c r="B19" s="1011" t="s">
        <v>1639</v>
      </c>
      <c r="C19" s="1011" t="s">
        <v>1640</v>
      </c>
      <c r="D19" s="1011" t="s">
        <v>1641</v>
      </c>
      <c r="E19" s="1011" t="s">
        <v>1583</v>
      </c>
      <c r="F19" s="1011" t="s">
        <v>1463</v>
      </c>
    </row>
    <row r="20" spans="1:6" x14ac:dyDescent="0.25">
      <c r="A20" s="1011">
        <v>64125321</v>
      </c>
      <c r="B20" s="1011" t="s">
        <v>1642</v>
      </c>
      <c r="C20" s="1011" t="s">
        <v>1643</v>
      </c>
      <c r="D20" s="1011" t="s">
        <v>1644</v>
      </c>
      <c r="E20" s="1011" t="s">
        <v>1588</v>
      </c>
      <c r="F20" s="1011" t="s">
        <v>1645</v>
      </c>
    </row>
    <row r="21" spans="1:6" x14ac:dyDescent="0.25">
      <c r="A21" s="1011">
        <v>14125926</v>
      </c>
      <c r="B21" s="1011" t="s">
        <v>1646</v>
      </c>
      <c r="C21" s="1011" t="s">
        <v>1647</v>
      </c>
      <c r="D21" s="1011" t="s">
        <v>1648</v>
      </c>
      <c r="E21" s="1011" t="s">
        <v>1588</v>
      </c>
      <c r="F21" s="1011" t="s">
        <v>1649</v>
      </c>
    </row>
    <row r="22" spans="1:6" x14ac:dyDescent="0.25">
      <c r="A22" s="1011">
        <v>4123964</v>
      </c>
      <c r="B22" s="1011" t="s">
        <v>1650</v>
      </c>
      <c r="C22" s="1011" t="s">
        <v>1651</v>
      </c>
      <c r="D22" s="1011" t="s">
        <v>1127</v>
      </c>
      <c r="E22" s="1011" t="s">
        <v>1593</v>
      </c>
      <c r="F22" s="1011" t="s">
        <v>1383</v>
      </c>
    </row>
    <row r="23" spans="1:6" x14ac:dyDescent="0.25">
      <c r="A23" s="1011">
        <v>44160679</v>
      </c>
      <c r="B23" s="1011" t="s">
        <v>1652</v>
      </c>
      <c r="C23" s="1011" t="s">
        <v>1653</v>
      </c>
      <c r="D23" s="1011" t="s">
        <v>1654</v>
      </c>
      <c r="E23" s="1011" t="s">
        <v>1588</v>
      </c>
      <c r="F23" s="1011" t="s">
        <v>1655</v>
      </c>
    </row>
    <row r="24" spans="1:6" x14ac:dyDescent="0.25">
      <c r="A24" s="1011">
        <v>4123337</v>
      </c>
      <c r="B24" s="1011" t="s">
        <v>1656</v>
      </c>
      <c r="C24" s="1011" t="s">
        <v>1657</v>
      </c>
      <c r="D24" s="1011" t="s">
        <v>1658</v>
      </c>
      <c r="E24" s="1011" t="s">
        <v>1593</v>
      </c>
      <c r="F24" s="1011" t="s">
        <v>1659</v>
      </c>
    </row>
    <row r="25" spans="1:6" x14ac:dyDescent="0.25">
      <c r="A25" s="1011">
        <v>4126041</v>
      </c>
      <c r="B25" s="1011" t="s">
        <v>1660</v>
      </c>
      <c r="C25" s="1011" t="s">
        <v>1661</v>
      </c>
      <c r="D25" s="1011" t="s">
        <v>1596</v>
      </c>
      <c r="E25" s="1011" t="s">
        <v>1593</v>
      </c>
      <c r="F25" s="1011" t="s">
        <v>1351</v>
      </c>
    </row>
    <row r="26" spans="1:6" x14ac:dyDescent="0.25">
      <c r="A26" s="1011">
        <v>54174396</v>
      </c>
      <c r="B26" s="1011" t="s">
        <v>1662</v>
      </c>
      <c r="C26" s="1011" t="s">
        <v>1663</v>
      </c>
      <c r="D26" s="1011" t="s">
        <v>1664</v>
      </c>
      <c r="E26" s="1011" t="s">
        <v>1588</v>
      </c>
      <c r="F26" s="1011" t="s">
        <v>1665</v>
      </c>
    </row>
    <row r="27" spans="1:6" x14ac:dyDescent="0.25">
      <c r="A27" s="1011">
        <v>24125676</v>
      </c>
      <c r="B27" s="1011" t="s">
        <v>1666</v>
      </c>
      <c r="C27" s="1011" t="s">
        <v>1667</v>
      </c>
      <c r="D27" s="1011" t="s">
        <v>1668</v>
      </c>
      <c r="E27" s="1011" t="s">
        <v>1588</v>
      </c>
      <c r="F27" s="1011" t="s">
        <v>1669</v>
      </c>
    </row>
    <row r="28" spans="1:6" x14ac:dyDescent="0.25">
      <c r="A28" s="1011">
        <v>84224997</v>
      </c>
      <c r="B28" s="1011" t="s">
        <v>1670</v>
      </c>
      <c r="C28" s="1011" t="s">
        <v>1671</v>
      </c>
      <c r="D28" s="1011" t="s">
        <v>1672</v>
      </c>
      <c r="E28" s="1011" t="s">
        <v>1593</v>
      </c>
      <c r="F28" s="1011" t="s">
        <v>1407</v>
      </c>
    </row>
    <row r="29" spans="1:6" x14ac:dyDescent="0.25">
      <c r="A29" s="1011">
        <v>24124653</v>
      </c>
      <c r="B29" s="1011" t="s">
        <v>1673</v>
      </c>
      <c r="C29" s="1011" t="s">
        <v>1674</v>
      </c>
      <c r="D29" s="1011" t="s">
        <v>1675</v>
      </c>
      <c r="E29" s="1011" t="s">
        <v>1593</v>
      </c>
      <c r="F29" s="1011" t="s">
        <v>1676</v>
      </c>
    </row>
    <row r="30" spans="1:6" x14ac:dyDescent="0.25">
      <c r="A30" s="1011">
        <v>94124625</v>
      </c>
      <c r="B30" s="1011" t="s">
        <v>1677</v>
      </c>
      <c r="C30" s="1011" t="s">
        <v>1678</v>
      </c>
      <c r="D30" s="1011" t="s">
        <v>1679</v>
      </c>
      <c r="E30" s="1011" t="s">
        <v>1588</v>
      </c>
      <c r="F30" s="1011" t="s">
        <v>1427</v>
      </c>
    </row>
    <row r="31" spans="1:6" x14ac:dyDescent="0.25">
      <c r="A31" s="1011">
        <v>34126003</v>
      </c>
      <c r="B31" s="1011" t="s">
        <v>1680</v>
      </c>
      <c r="C31" s="1011" t="s">
        <v>1681</v>
      </c>
      <c r="D31" s="1011" t="s">
        <v>1125</v>
      </c>
      <c r="E31" s="1011" t="s">
        <v>1588</v>
      </c>
      <c r="F31" s="1011" t="s">
        <v>1682</v>
      </c>
    </row>
    <row r="32" spans="1:6" x14ac:dyDescent="0.25">
      <c r="A32" s="1011">
        <v>74252594</v>
      </c>
      <c r="B32" s="1011" t="s">
        <v>1683</v>
      </c>
      <c r="C32" s="1011" t="s">
        <v>1684</v>
      </c>
      <c r="D32" s="1011" t="s">
        <v>1685</v>
      </c>
      <c r="E32" s="1011" t="s">
        <v>1593</v>
      </c>
      <c r="F32" s="1011" t="s">
        <v>1469</v>
      </c>
    </row>
    <row r="33" spans="1:6" x14ac:dyDescent="0.25">
      <c r="A33" s="1011">
        <v>4125407</v>
      </c>
      <c r="B33" s="1011" t="s">
        <v>1686</v>
      </c>
      <c r="C33" s="1011" t="s">
        <v>1687</v>
      </c>
      <c r="D33" s="1011" t="s">
        <v>1688</v>
      </c>
      <c r="E33" s="1011" t="s">
        <v>1588</v>
      </c>
      <c r="F33" s="1011" t="s">
        <v>1689</v>
      </c>
    </row>
    <row r="34" spans="1:6" x14ac:dyDescent="0.25">
      <c r="A34" s="1011">
        <v>24147043</v>
      </c>
      <c r="B34" s="1011" t="s">
        <v>1690</v>
      </c>
      <c r="C34" s="1011" t="s">
        <v>1691</v>
      </c>
      <c r="D34" s="1011" t="s">
        <v>1125</v>
      </c>
      <c r="E34" s="1011" t="s">
        <v>1588</v>
      </c>
      <c r="F34" s="1011" t="s">
        <v>1616</v>
      </c>
    </row>
    <row r="35" spans="1:6" x14ac:dyDescent="0.25">
      <c r="A35" s="1011">
        <v>24123853</v>
      </c>
      <c r="B35" s="1011" t="s">
        <v>1692</v>
      </c>
      <c r="C35" s="1011" t="s">
        <v>1693</v>
      </c>
      <c r="D35" s="1011" t="s">
        <v>1694</v>
      </c>
      <c r="E35" s="1011" t="s">
        <v>1593</v>
      </c>
      <c r="F35" s="1011" t="s">
        <v>1695</v>
      </c>
    </row>
    <row r="36" spans="1:6" x14ac:dyDescent="0.25">
      <c r="A36" s="1011">
        <v>14124218</v>
      </c>
      <c r="B36" s="1011" t="s">
        <v>1696</v>
      </c>
      <c r="C36" s="1011" t="s">
        <v>1697</v>
      </c>
      <c r="D36" s="1011" t="s">
        <v>1698</v>
      </c>
      <c r="E36" s="1011" t="s">
        <v>1593</v>
      </c>
      <c r="F36" s="1011" t="s">
        <v>1699</v>
      </c>
    </row>
    <row r="37" spans="1:6" x14ac:dyDescent="0.25">
      <c r="A37" s="1011">
        <v>34124198</v>
      </c>
      <c r="B37" s="1011" t="s">
        <v>1700</v>
      </c>
      <c r="C37" s="1011" t="s">
        <v>1701</v>
      </c>
      <c r="D37" s="1011" t="s">
        <v>1702</v>
      </c>
      <c r="E37" s="1011" t="s">
        <v>1593</v>
      </c>
      <c r="F37" s="1011" t="s">
        <v>1703</v>
      </c>
    </row>
    <row r="38" spans="1:6" x14ac:dyDescent="0.25">
      <c r="A38" s="1011">
        <v>24123507</v>
      </c>
      <c r="B38" s="1011" t="s">
        <v>1704</v>
      </c>
      <c r="C38" s="1011" t="s">
        <v>1705</v>
      </c>
      <c r="D38" s="1011" t="s">
        <v>1127</v>
      </c>
      <c r="E38" s="1011" t="s">
        <v>1593</v>
      </c>
      <c r="F38" s="1011" t="s">
        <v>1395</v>
      </c>
    </row>
    <row r="39" spans="1:6" x14ac:dyDescent="0.25">
      <c r="A39" s="1011">
        <v>94123437</v>
      </c>
      <c r="B39" s="1011" t="s">
        <v>1706</v>
      </c>
      <c r="C39" s="1011" t="s">
        <v>1707</v>
      </c>
      <c r="D39" s="1011" t="s">
        <v>1127</v>
      </c>
      <c r="E39" s="1011" t="s">
        <v>1593</v>
      </c>
      <c r="F39" s="1011" t="s">
        <v>1445</v>
      </c>
    </row>
    <row r="40" spans="1:6" x14ac:dyDescent="0.25">
      <c r="A40" s="1011">
        <v>44124238</v>
      </c>
      <c r="B40" s="1011" t="s">
        <v>1708</v>
      </c>
      <c r="C40" s="1011" t="s">
        <v>1709</v>
      </c>
      <c r="D40" s="1011" t="s">
        <v>1710</v>
      </c>
      <c r="E40" s="1011" t="s">
        <v>1593</v>
      </c>
      <c r="F40" s="1011" t="s">
        <v>1711</v>
      </c>
    </row>
    <row r="41" spans="1:6" x14ac:dyDescent="0.25">
      <c r="A41" s="1011">
        <v>14125645</v>
      </c>
      <c r="B41" s="1011" t="s">
        <v>1712</v>
      </c>
      <c r="C41" s="1011" t="s">
        <v>1713</v>
      </c>
      <c r="D41" s="1011" t="s">
        <v>72</v>
      </c>
      <c r="E41" s="1011" t="s">
        <v>1612</v>
      </c>
      <c r="F41" s="1011" t="s">
        <v>1714</v>
      </c>
    </row>
    <row r="42" spans="1:6" x14ac:dyDescent="0.25">
      <c r="A42" s="1011">
        <v>44125656</v>
      </c>
      <c r="B42" s="1011" t="s">
        <v>1715</v>
      </c>
      <c r="C42" s="1011" t="s">
        <v>1716</v>
      </c>
      <c r="D42" s="1011" t="s">
        <v>1717</v>
      </c>
      <c r="E42" s="1011" t="s">
        <v>1588</v>
      </c>
      <c r="F42" s="1011" t="s">
        <v>1718</v>
      </c>
    </row>
    <row r="43" spans="1:6" x14ac:dyDescent="0.25">
      <c r="A43" s="1011">
        <v>84125418</v>
      </c>
      <c r="B43" s="1011" t="s">
        <v>1719</v>
      </c>
      <c r="C43" s="1011" t="s">
        <v>1720</v>
      </c>
      <c r="D43" s="1011" t="s">
        <v>1721</v>
      </c>
      <c r="E43" s="1011" t="s">
        <v>1588</v>
      </c>
      <c r="F43" s="1011" t="s">
        <v>1722</v>
      </c>
    </row>
    <row r="44" spans="1:6" x14ac:dyDescent="0.25">
      <c r="A44" s="1011">
        <v>94123353</v>
      </c>
      <c r="B44" s="1011" t="s">
        <v>1723</v>
      </c>
      <c r="C44" s="1011" t="s">
        <v>1724</v>
      </c>
      <c r="D44" s="1011" t="s">
        <v>1725</v>
      </c>
      <c r="E44" s="1011" t="s">
        <v>1593</v>
      </c>
      <c r="F44" s="1011" t="s">
        <v>1413</v>
      </c>
    </row>
    <row r="45" spans="1:6" x14ac:dyDescent="0.25">
      <c r="A45" s="1011">
        <v>34124156</v>
      </c>
      <c r="B45" s="1011" t="s">
        <v>1726</v>
      </c>
      <c r="C45" s="1011" t="s">
        <v>1727</v>
      </c>
      <c r="D45" s="1011" t="s">
        <v>1728</v>
      </c>
      <c r="E45" s="1011" t="s">
        <v>1593</v>
      </c>
      <c r="F45" s="1011" t="s">
        <v>1729</v>
      </c>
    </row>
    <row r="46" spans="1:6" x14ac:dyDescent="0.25">
      <c r="A46" s="1011">
        <v>94125523</v>
      </c>
      <c r="B46" s="1011" t="s">
        <v>1730</v>
      </c>
      <c r="C46" s="1011" t="s">
        <v>1731</v>
      </c>
      <c r="D46" s="1011" t="s">
        <v>1732</v>
      </c>
      <c r="E46" s="1011" t="s">
        <v>1588</v>
      </c>
      <c r="F46" s="1011" t="s">
        <v>1369</v>
      </c>
    </row>
    <row r="47" spans="1:6" x14ac:dyDescent="0.25">
      <c r="A47" s="1011">
        <v>94145059</v>
      </c>
      <c r="B47" s="1011" t="s">
        <v>1733</v>
      </c>
      <c r="C47" s="1011" t="s">
        <v>1734</v>
      </c>
      <c r="D47" s="1011" t="s">
        <v>1735</v>
      </c>
      <c r="E47" s="1011" t="s">
        <v>1588</v>
      </c>
      <c r="F47" s="1011" t="s">
        <v>1736</v>
      </c>
    </row>
    <row r="48" spans="1:6" x14ac:dyDescent="0.25">
      <c r="A48" s="1011">
        <v>44125698</v>
      </c>
      <c r="B48" s="1011" t="s">
        <v>1737</v>
      </c>
      <c r="C48" s="1011" t="s">
        <v>1738</v>
      </c>
      <c r="D48" s="1011" t="s">
        <v>72</v>
      </c>
      <c r="E48" s="1011" t="s">
        <v>1612</v>
      </c>
      <c r="F48" s="1011" t="s">
        <v>1739</v>
      </c>
    </row>
    <row r="49" spans="1:6" x14ac:dyDescent="0.25">
      <c r="A49" s="1011">
        <v>4239091</v>
      </c>
      <c r="B49" s="1011" t="s">
        <v>1740</v>
      </c>
      <c r="C49" s="1011" t="s">
        <v>1741</v>
      </c>
      <c r="D49" s="1011" t="s">
        <v>1742</v>
      </c>
      <c r="E49" s="1011" t="s">
        <v>1593</v>
      </c>
      <c r="F49" s="1011" t="s">
        <v>1743</v>
      </c>
    </row>
    <row r="50" spans="1:6" x14ac:dyDescent="0.25">
      <c r="A50" s="1011">
        <v>14126080</v>
      </c>
      <c r="B50" s="1011" t="s">
        <v>1744</v>
      </c>
      <c r="C50" s="1011" t="s">
        <v>1745</v>
      </c>
      <c r="D50" s="1011" t="s">
        <v>65</v>
      </c>
      <c r="E50" s="1011" t="s">
        <v>1612</v>
      </c>
      <c r="F50" s="1011" t="s">
        <v>1746</v>
      </c>
    </row>
    <row r="51" spans="1:6" x14ac:dyDescent="0.25">
      <c r="A51" s="1011">
        <v>34125583</v>
      </c>
      <c r="B51" s="1011" t="s">
        <v>1747</v>
      </c>
      <c r="C51" s="1011" t="s">
        <v>1748</v>
      </c>
      <c r="D51" s="1011" t="s">
        <v>72</v>
      </c>
      <c r="E51" s="1011" t="s">
        <v>1612</v>
      </c>
      <c r="F51" s="1011" t="s">
        <v>1749</v>
      </c>
    </row>
    <row r="52" spans="1:6" x14ac:dyDescent="0.25">
      <c r="A52" s="1011">
        <v>64222508</v>
      </c>
      <c r="B52" s="1011" t="s">
        <v>1750</v>
      </c>
      <c r="C52" s="1011" t="s">
        <v>1751</v>
      </c>
      <c r="D52" s="1011" t="s">
        <v>1752</v>
      </c>
      <c r="E52" s="1011" t="s">
        <v>1588</v>
      </c>
      <c r="F52" s="1011" t="s">
        <v>1753</v>
      </c>
    </row>
    <row r="53" spans="1:6" x14ac:dyDescent="0.25">
      <c r="A53" s="1011">
        <v>84146281</v>
      </c>
      <c r="B53" s="1011" t="s">
        <v>1754</v>
      </c>
      <c r="C53" s="1011" t="s">
        <v>1755</v>
      </c>
      <c r="D53" s="1011" t="s">
        <v>1756</v>
      </c>
      <c r="E53" s="1011" t="s">
        <v>1593</v>
      </c>
      <c r="F53" s="1011" t="s">
        <v>1429</v>
      </c>
    </row>
    <row r="54" spans="1:6" x14ac:dyDescent="0.25">
      <c r="A54" s="1011">
        <v>44123552</v>
      </c>
      <c r="B54" s="1011" t="s">
        <v>1757</v>
      </c>
      <c r="C54" s="1011" t="s">
        <v>1758</v>
      </c>
      <c r="D54" s="1011" t="s">
        <v>1127</v>
      </c>
      <c r="E54" s="1011" t="s">
        <v>1593</v>
      </c>
      <c r="F54" s="1011" t="s">
        <v>1375</v>
      </c>
    </row>
    <row r="55" spans="1:6" x14ac:dyDescent="0.25">
      <c r="A55" s="1011">
        <v>74123480</v>
      </c>
      <c r="B55" s="1011" t="s">
        <v>1759</v>
      </c>
      <c r="C55" s="1011" t="s">
        <v>1760</v>
      </c>
      <c r="D55" s="1011" t="s">
        <v>1127</v>
      </c>
      <c r="E55" s="1011" t="s">
        <v>1593</v>
      </c>
      <c r="F55" s="1011" t="s">
        <v>1383</v>
      </c>
    </row>
    <row r="56" spans="1:6" x14ac:dyDescent="0.25">
      <c r="A56" s="1011">
        <v>34133934</v>
      </c>
      <c r="B56" s="1011" t="s">
        <v>1761</v>
      </c>
      <c r="C56" s="1011" t="s">
        <v>1762</v>
      </c>
      <c r="D56" s="1011" t="s">
        <v>1763</v>
      </c>
      <c r="E56" s="1011" t="s">
        <v>1588</v>
      </c>
      <c r="F56" s="1011" t="s">
        <v>1764</v>
      </c>
    </row>
    <row r="57" spans="1:6" x14ac:dyDescent="0.25">
      <c r="A57" s="1011">
        <v>64150568</v>
      </c>
      <c r="B57" s="1011" t="s">
        <v>1765</v>
      </c>
      <c r="C57" s="1011" t="s">
        <v>1766</v>
      </c>
      <c r="D57" s="1011" t="s">
        <v>1767</v>
      </c>
      <c r="E57" s="1011" t="s">
        <v>1593</v>
      </c>
      <c r="F57" s="1011" t="s">
        <v>1419</v>
      </c>
    </row>
    <row r="58" spans="1:6" x14ac:dyDescent="0.25">
      <c r="A58" s="1011">
        <v>54125380</v>
      </c>
      <c r="B58" s="1011" t="s">
        <v>1768</v>
      </c>
      <c r="C58" s="1011" t="s">
        <v>1769</v>
      </c>
      <c r="D58" s="1011" t="s">
        <v>1125</v>
      </c>
      <c r="E58" s="1011" t="s">
        <v>1588</v>
      </c>
      <c r="F58" s="1011" t="s">
        <v>1770</v>
      </c>
    </row>
    <row r="59" spans="1:6" x14ac:dyDescent="0.25">
      <c r="A59" s="1011">
        <v>64125024</v>
      </c>
      <c r="B59" s="1011" t="s">
        <v>1771</v>
      </c>
      <c r="C59" s="1011" t="s">
        <v>1772</v>
      </c>
      <c r="D59" s="1011" t="s">
        <v>1773</v>
      </c>
      <c r="E59" s="1011" t="s">
        <v>1583</v>
      </c>
      <c r="F59" s="1011" t="s">
        <v>1435</v>
      </c>
    </row>
    <row r="60" spans="1:6" x14ac:dyDescent="0.25">
      <c r="A60" s="1011">
        <v>54125489</v>
      </c>
      <c r="B60" s="1011" t="s">
        <v>1774</v>
      </c>
      <c r="C60" s="1011" t="s">
        <v>1775</v>
      </c>
      <c r="D60" s="1011" t="s">
        <v>1776</v>
      </c>
      <c r="E60" s="1011" t="s">
        <v>1612</v>
      </c>
      <c r="F60" s="1011" t="s">
        <v>1777</v>
      </c>
    </row>
    <row r="61" spans="1:6" x14ac:dyDescent="0.25">
      <c r="A61" s="1011">
        <v>34124420</v>
      </c>
      <c r="B61" s="1011" t="s">
        <v>1778</v>
      </c>
      <c r="C61" s="1011" t="s">
        <v>1779</v>
      </c>
      <c r="D61" s="1011" t="s">
        <v>1780</v>
      </c>
      <c r="E61" s="1011" t="s">
        <v>1593</v>
      </c>
      <c r="F61" s="1011" t="s">
        <v>1443</v>
      </c>
    </row>
    <row r="62" spans="1:6" x14ac:dyDescent="0.25">
      <c r="A62" s="1011">
        <v>14125280</v>
      </c>
      <c r="B62" s="1011" t="s">
        <v>1781</v>
      </c>
      <c r="C62" s="1011" t="s">
        <v>1782</v>
      </c>
      <c r="D62" s="1011" t="s">
        <v>1668</v>
      </c>
      <c r="E62" s="1011" t="s">
        <v>1588</v>
      </c>
      <c r="F62" s="1011" t="s">
        <v>1783</v>
      </c>
    </row>
    <row r="63" spans="1:6" x14ac:dyDescent="0.25">
      <c r="A63" s="1011">
        <v>74125253</v>
      </c>
      <c r="B63" s="1011" t="s">
        <v>1784</v>
      </c>
      <c r="C63" s="1011" t="s">
        <v>1785</v>
      </c>
      <c r="D63" s="1011" t="s">
        <v>72</v>
      </c>
      <c r="E63" s="1011" t="s">
        <v>1612</v>
      </c>
      <c r="F63" s="1011" t="s">
        <v>1739</v>
      </c>
    </row>
    <row r="64" spans="1:6" x14ac:dyDescent="0.25">
      <c r="A64" s="1011">
        <v>44125987</v>
      </c>
      <c r="B64" s="1011" t="s">
        <v>1786</v>
      </c>
      <c r="C64" s="1011" t="s">
        <v>1787</v>
      </c>
      <c r="D64" s="1011" t="s">
        <v>1717</v>
      </c>
      <c r="E64" s="1011" t="s">
        <v>1588</v>
      </c>
      <c r="F64" s="1011" t="s">
        <v>1718</v>
      </c>
    </row>
    <row r="65" spans="1:6" x14ac:dyDescent="0.25">
      <c r="A65" s="1011">
        <v>74124058</v>
      </c>
      <c r="B65" s="1011" t="s">
        <v>1788</v>
      </c>
      <c r="C65" s="1011" t="s">
        <v>1789</v>
      </c>
      <c r="D65" s="1011" t="s">
        <v>1728</v>
      </c>
      <c r="E65" s="1011" t="s">
        <v>1593</v>
      </c>
      <c r="F65" s="1011" t="s">
        <v>1729</v>
      </c>
    </row>
    <row r="66" spans="1:6" x14ac:dyDescent="0.25">
      <c r="A66" s="1011">
        <v>24125411</v>
      </c>
      <c r="B66" s="1011" t="s">
        <v>1790</v>
      </c>
      <c r="C66" s="1011" t="s">
        <v>1791</v>
      </c>
      <c r="D66" s="1011" t="s">
        <v>1792</v>
      </c>
      <c r="E66" s="1011" t="s">
        <v>1588</v>
      </c>
      <c r="F66" s="1011" t="s">
        <v>1793</v>
      </c>
    </row>
    <row r="67" spans="1:6" x14ac:dyDescent="0.25">
      <c r="A67" s="1011">
        <v>54125224</v>
      </c>
      <c r="B67" s="1011" t="s">
        <v>1794</v>
      </c>
      <c r="C67" s="1011" t="s">
        <v>1795</v>
      </c>
      <c r="D67" s="1011" t="s">
        <v>1796</v>
      </c>
      <c r="E67" s="1011" t="s">
        <v>1588</v>
      </c>
      <c r="F67" s="1011" t="s">
        <v>1797</v>
      </c>
    </row>
    <row r="68" spans="1:6" x14ac:dyDescent="0.25">
      <c r="A68" s="1011">
        <v>3809969</v>
      </c>
      <c r="B68" s="1011" t="s">
        <v>1798</v>
      </c>
      <c r="C68" s="1011" t="s">
        <v>1799</v>
      </c>
      <c r="D68" s="1011" t="s">
        <v>1800</v>
      </c>
      <c r="E68" s="1011" t="s">
        <v>1588</v>
      </c>
      <c r="F68" s="1011" t="s">
        <v>1801</v>
      </c>
    </row>
    <row r="69" spans="1:6" x14ac:dyDescent="0.25">
      <c r="A69" s="1011">
        <v>24182909</v>
      </c>
      <c r="B69" s="1011" t="s">
        <v>1802</v>
      </c>
      <c r="C69" s="1011" t="s">
        <v>1803</v>
      </c>
      <c r="D69" s="1011" t="s">
        <v>1804</v>
      </c>
      <c r="E69" s="1011" t="s">
        <v>1588</v>
      </c>
      <c r="F69" s="1011" t="s">
        <v>1805</v>
      </c>
    </row>
    <row r="70" spans="1:6" x14ac:dyDescent="0.25">
      <c r="A70" s="1011">
        <v>84258052</v>
      </c>
      <c r="B70" s="1011" t="s">
        <v>1806</v>
      </c>
      <c r="C70" s="1011" t="s">
        <v>1807</v>
      </c>
      <c r="D70" s="1011" t="s">
        <v>1808</v>
      </c>
      <c r="E70" s="1011" t="s">
        <v>1588</v>
      </c>
      <c r="F70" s="1011" t="s">
        <v>1809</v>
      </c>
    </row>
    <row r="71" spans="1:6" x14ac:dyDescent="0.25">
      <c r="A71" s="1011">
        <v>34124370</v>
      </c>
      <c r="B71" s="1011" t="s">
        <v>1810</v>
      </c>
      <c r="C71" s="1011" t="s">
        <v>1811</v>
      </c>
      <c r="D71" s="1011" t="s">
        <v>1812</v>
      </c>
      <c r="E71" s="1011" t="s">
        <v>1593</v>
      </c>
      <c r="F71" s="1011" t="s">
        <v>1385</v>
      </c>
    </row>
    <row r="72" spans="1:6" x14ac:dyDescent="0.25">
      <c r="A72" s="1011">
        <v>64124373</v>
      </c>
      <c r="B72" s="1011" t="s">
        <v>1813</v>
      </c>
      <c r="C72" s="1011" t="s">
        <v>1814</v>
      </c>
      <c r="D72" s="1011" t="s">
        <v>1815</v>
      </c>
      <c r="E72" s="1011" t="s">
        <v>1593</v>
      </c>
      <c r="F72" s="1011" t="s">
        <v>1816</v>
      </c>
    </row>
    <row r="73" spans="1:6" x14ac:dyDescent="0.25">
      <c r="A73" s="1011">
        <v>84125467</v>
      </c>
      <c r="B73" s="1011" t="s">
        <v>1817</v>
      </c>
      <c r="C73" s="1011" t="s">
        <v>1818</v>
      </c>
      <c r="D73" s="1011" t="s">
        <v>1819</v>
      </c>
      <c r="E73" s="1011" t="s">
        <v>1588</v>
      </c>
      <c r="F73" s="1011" t="s">
        <v>1820</v>
      </c>
    </row>
    <row r="74" spans="1:6" x14ac:dyDescent="0.25">
      <c r="A74" s="1011">
        <v>4134516</v>
      </c>
      <c r="B74" s="1011" t="s">
        <v>1821</v>
      </c>
      <c r="C74" s="1011" t="s">
        <v>1822</v>
      </c>
      <c r="D74" s="1011" t="s">
        <v>1721</v>
      </c>
      <c r="E74" s="1011" t="s">
        <v>1588</v>
      </c>
      <c r="F74" s="1011" t="s">
        <v>1722</v>
      </c>
    </row>
    <row r="75" spans="1:6" x14ac:dyDescent="0.25">
      <c r="A75" s="1011">
        <v>34124636</v>
      </c>
      <c r="B75" s="1011" t="s">
        <v>1823</v>
      </c>
      <c r="C75" s="1011" t="s">
        <v>1824</v>
      </c>
      <c r="D75" s="1011" t="s">
        <v>1127</v>
      </c>
      <c r="E75" s="1011" t="s">
        <v>1593</v>
      </c>
      <c r="F75" s="1011" t="s">
        <v>1341</v>
      </c>
    </row>
    <row r="76" spans="1:6" x14ac:dyDescent="0.25">
      <c r="A76" s="1011">
        <v>14255152</v>
      </c>
      <c r="B76" s="1011" t="s">
        <v>1825</v>
      </c>
      <c r="C76" s="1011" t="s">
        <v>1826</v>
      </c>
      <c r="D76" s="1011" t="s">
        <v>1672</v>
      </c>
      <c r="E76" s="1011" t="s">
        <v>1593</v>
      </c>
      <c r="F76" s="1011" t="s">
        <v>1407</v>
      </c>
    </row>
    <row r="77" spans="1:6" x14ac:dyDescent="0.25">
      <c r="A77" s="1011">
        <v>24125551</v>
      </c>
      <c r="B77" s="1011" t="s">
        <v>1827</v>
      </c>
      <c r="C77" s="1011" t="s">
        <v>1828</v>
      </c>
      <c r="D77" s="1011" t="s">
        <v>1125</v>
      </c>
      <c r="E77" s="1011" t="s">
        <v>1588</v>
      </c>
      <c r="F77" s="1011" t="s">
        <v>1619</v>
      </c>
    </row>
    <row r="78" spans="1:6" x14ac:dyDescent="0.25">
      <c r="A78" s="1011">
        <v>54125927</v>
      </c>
      <c r="B78" s="1011" t="s">
        <v>1829</v>
      </c>
      <c r="C78" s="1011" t="s">
        <v>1830</v>
      </c>
      <c r="D78" s="1011" t="s">
        <v>1831</v>
      </c>
      <c r="E78" s="1011" t="s">
        <v>1588</v>
      </c>
      <c r="F78" s="1011" t="s">
        <v>1832</v>
      </c>
    </row>
    <row r="79" spans="1:6" x14ac:dyDescent="0.25">
      <c r="A79" s="1011">
        <v>54124144</v>
      </c>
      <c r="B79" s="1011" t="s">
        <v>1833</v>
      </c>
      <c r="C79" s="1011" t="s">
        <v>1834</v>
      </c>
      <c r="D79" s="1011" t="s">
        <v>1127</v>
      </c>
      <c r="E79" s="1011" t="s">
        <v>1593</v>
      </c>
      <c r="F79" s="1011" t="s">
        <v>1375</v>
      </c>
    </row>
    <row r="80" spans="1:6" x14ac:dyDescent="0.25">
      <c r="A80" s="1011">
        <v>54124334</v>
      </c>
      <c r="B80" s="1011" t="s">
        <v>1835</v>
      </c>
      <c r="C80" s="1011" t="s">
        <v>1836</v>
      </c>
      <c r="D80" s="1011" t="s">
        <v>1127</v>
      </c>
      <c r="E80" s="1011" t="s">
        <v>1593</v>
      </c>
      <c r="F80" s="1011" t="s">
        <v>1449</v>
      </c>
    </row>
    <row r="81" spans="1:6" x14ac:dyDescent="0.25">
      <c r="A81" s="1011">
        <v>64124472</v>
      </c>
      <c r="B81" s="1011" t="s">
        <v>1837</v>
      </c>
      <c r="C81" s="1011" t="s">
        <v>1838</v>
      </c>
      <c r="D81" s="1011" t="s">
        <v>1127</v>
      </c>
      <c r="E81" s="1011" t="s">
        <v>1593</v>
      </c>
      <c r="F81" s="1011" t="s">
        <v>1375</v>
      </c>
    </row>
    <row r="82" spans="1:6" x14ac:dyDescent="0.25">
      <c r="A82" s="1011">
        <v>14125801</v>
      </c>
      <c r="B82" s="1011" t="s">
        <v>1839</v>
      </c>
      <c r="C82" s="1011" t="s">
        <v>1840</v>
      </c>
      <c r="D82" s="1011" t="s">
        <v>1841</v>
      </c>
      <c r="E82" s="1011" t="s">
        <v>1588</v>
      </c>
      <c r="F82" s="1011" t="s">
        <v>1842</v>
      </c>
    </row>
    <row r="83" spans="1:6" x14ac:dyDescent="0.25">
      <c r="A83" s="1011">
        <v>44123446</v>
      </c>
      <c r="B83" s="1011" t="s">
        <v>1843</v>
      </c>
      <c r="C83" s="1011" t="s">
        <v>1844</v>
      </c>
      <c r="D83" s="1011" t="s">
        <v>1127</v>
      </c>
      <c r="E83" s="1011" t="s">
        <v>1593</v>
      </c>
      <c r="F83" s="1011" t="s">
        <v>1375</v>
      </c>
    </row>
    <row r="84" spans="1:6" x14ac:dyDescent="0.25">
      <c r="A84" s="1011">
        <v>34125831</v>
      </c>
      <c r="B84" s="1011" t="s">
        <v>1845</v>
      </c>
      <c r="C84" s="1011" t="s">
        <v>1846</v>
      </c>
      <c r="D84" s="1011" t="s">
        <v>1847</v>
      </c>
      <c r="E84" s="1011" t="s">
        <v>1588</v>
      </c>
      <c r="F84" s="1011" t="s">
        <v>1848</v>
      </c>
    </row>
    <row r="85" spans="1:6" x14ac:dyDescent="0.25">
      <c r="A85" s="1011">
        <v>4236048</v>
      </c>
      <c r="B85" s="1011" t="s">
        <v>1849</v>
      </c>
      <c r="C85" s="1011" t="s">
        <v>1850</v>
      </c>
      <c r="D85" s="1011" t="s">
        <v>1735</v>
      </c>
      <c r="E85" s="1011" t="s">
        <v>1588</v>
      </c>
      <c r="F85" s="1011" t="s">
        <v>1736</v>
      </c>
    </row>
    <row r="86" spans="1:6" x14ac:dyDescent="0.25">
      <c r="A86" s="1011">
        <v>44124121</v>
      </c>
      <c r="B86" s="1011" t="s">
        <v>1851</v>
      </c>
      <c r="C86" s="1011" t="s">
        <v>1852</v>
      </c>
      <c r="D86" s="1011" t="s">
        <v>1127</v>
      </c>
      <c r="E86" s="1011" t="s">
        <v>1593</v>
      </c>
      <c r="F86" s="1011" t="s">
        <v>1383</v>
      </c>
    </row>
    <row r="87" spans="1:6" x14ac:dyDescent="0.25">
      <c r="A87" s="1011">
        <v>34126102</v>
      </c>
      <c r="B87" s="1011" t="s">
        <v>1853</v>
      </c>
      <c r="C87" s="1011" t="s">
        <v>1854</v>
      </c>
      <c r="D87" s="1011" t="s">
        <v>1125</v>
      </c>
      <c r="E87" s="1011" t="s">
        <v>1588</v>
      </c>
      <c r="F87" s="1011" t="s">
        <v>1616</v>
      </c>
    </row>
    <row r="88" spans="1:6" x14ac:dyDescent="0.25">
      <c r="A88" s="1011">
        <v>84124601</v>
      </c>
      <c r="B88" s="1011" t="s">
        <v>1855</v>
      </c>
      <c r="C88" s="1011" t="s">
        <v>1856</v>
      </c>
      <c r="D88" s="1011" t="s">
        <v>1857</v>
      </c>
      <c r="E88" s="1011" t="s">
        <v>1593</v>
      </c>
      <c r="F88" s="1011" t="s">
        <v>1858</v>
      </c>
    </row>
    <row r="89" spans="1:6" x14ac:dyDescent="0.25">
      <c r="A89" s="1011">
        <v>14123376</v>
      </c>
      <c r="B89" s="1011" t="s">
        <v>1859</v>
      </c>
      <c r="C89" s="1011" t="s">
        <v>1860</v>
      </c>
      <c r="D89" s="1011" t="s">
        <v>1756</v>
      </c>
      <c r="E89" s="1011" t="s">
        <v>1593</v>
      </c>
      <c r="F89" s="1011" t="s">
        <v>1429</v>
      </c>
    </row>
    <row r="90" spans="1:6" x14ac:dyDescent="0.25">
      <c r="A90" s="1011">
        <v>34123547</v>
      </c>
      <c r="B90" s="1011" t="s">
        <v>1861</v>
      </c>
      <c r="C90" s="1011" t="s">
        <v>1862</v>
      </c>
      <c r="D90" s="1011" t="s">
        <v>1127</v>
      </c>
      <c r="E90" s="1011" t="s">
        <v>1593</v>
      </c>
      <c r="F90" s="1011" t="s">
        <v>1341</v>
      </c>
    </row>
    <row r="91" spans="1:6" x14ac:dyDescent="0.25">
      <c r="A91" s="1011">
        <v>4251641</v>
      </c>
      <c r="B91" s="1011" t="s">
        <v>1863</v>
      </c>
      <c r="C91" s="1011" t="s">
        <v>1864</v>
      </c>
      <c r="D91" s="1011" t="s">
        <v>1865</v>
      </c>
      <c r="E91" s="1011" t="s">
        <v>1588</v>
      </c>
      <c r="F91" s="1011" t="s">
        <v>1866</v>
      </c>
    </row>
    <row r="92" spans="1:6" x14ac:dyDescent="0.25">
      <c r="A92" s="1011">
        <v>74125980</v>
      </c>
      <c r="B92" s="1011" t="s">
        <v>1867</v>
      </c>
      <c r="C92" s="1011" t="s">
        <v>1868</v>
      </c>
      <c r="D92" s="1011" t="s">
        <v>1869</v>
      </c>
      <c r="E92" s="1011" t="s">
        <v>1612</v>
      </c>
      <c r="F92" s="1011" t="s">
        <v>1870</v>
      </c>
    </row>
    <row r="93" spans="1:6" x14ac:dyDescent="0.25">
      <c r="A93" s="1011">
        <v>4123642</v>
      </c>
      <c r="B93" s="1011" t="s">
        <v>1871</v>
      </c>
      <c r="C93" s="1011" t="s">
        <v>1872</v>
      </c>
      <c r="D93" s="1011" t="s">
        <v>1127</v>
      </c>
      <c r="E93" s="1011" t="s">
        <v>1593</v>
      </c>
      <c r="F93" s="1011" t="s">
        <v>1445</v>
      </c>
    </row>
    <row r="94" spans="1:6" x14ac:dyDescent="0.25">
      <c r="A94" s="1011">
        <v>74163478</v>
      </c>
      <c r="B94" s="1011" t="s">
        <v>1873</v>
      </c>
      <c r="C94" s="1011" t="s">
        <v>1874</v>
      </c>
      <c r="D94" s="1011" t="s">
        <v>1728</v>
      </c>
      <c r="E94" s="1011" t="s">
        <v>1593</v>
      </c>
      <c r="F94" s="1011" t="s">
        <v>1729</v>
      </c>
    </row>
    <row r="95" spans="1:6" x14ac:dyDescent="0.25">
      <c r="A95" s="1011">
        <v>34125245</v>
      </c>
      <c r="B95" s="1011" t="s">
        <v>1875</v>
      </c>
      <c r="C95" s="1011" t="s">
        <v>1876</v>
      </c>
      <c r="D95" s="1011" t="s">
        <v>72</v>
      </c>
      <c r="E95" s="1011" t="s">
        <v>1612</v>
      </c>
      <c r="F95" s="1011" t="s">
        <v>1877</v>
      </c>
    </row>
    <row r="96" spans="1:6" x14ac:dyDescent="0.25">
      <c r="A96" s="1011">
        <v>44147635</v>
      </c>
      <c r="B96" s="1011" t="s">
        <v>1878</v>
      </c>
      <c r="C96" s="1011" t="s">
        <v>1879</v>
      </c>
      <c r="D96" s="1011" t="s">
        <v>1880</v>
      </c>
      <c r="E96" s="1011" t="s">
        <v>1583</v>
      </c>
      <c r="F96" s="1011" t="s">
        <v>1881</v>
      </c>
    </row>
    <row r="97" spans="1:6" x14ac:dyDescent="0.25">
      <c r="A97" s="1011">
        <v>44125532</v>
      </c>
      <c r="B97" s="1011" t="s">
        <v>1882</v>
      </c>
      <c r="C97" s="1011" t="s">
        <v>1883</v>
      </c>
      <c r="D97" s="1011" t="s">
        <v>1884</v>
      </c>
      <c r="E97" s="1011" t="s">
        <v>1593</v>
      </c>
      <c r="F97" s="1011" t="s">
        <v>1885</v>
      </c>
    </row>
    <row r="98" spans="1:6" x14ac:dyDescent="0.25">
      <c r="A98" s="1011">
        <v>44163236</v>
      </c>
      <c r="B98" s="1011" t="s">
        <v>1886</v>
      </c>
      <c r="C98" s="1011" t="s">
        <v>1887</v>
      </c>
      <c r="D98" s="1011" t="s">
        <v>1888</v>
      </c>
      <c r="E98" s="1011" t="s">
        <v>1583</v>
      </c>
      <c r="F98" s="1011" t="s">
        <v>1889</v>
      </c>
    </row>
    <row r="99" spans="1:6" x14ac:dyDescent="0.25">
      <c r="A99" s="1011">
        <v>54125158</v>
      </c>
      <c r="B99" s="1011" t="s">
        <v>1890</v>
      </c>
      <c r="C99" s="1011" t="s">
        <v>1891</v>
      </c>
      <c r="D99" s="1011" t="s">
        <v>1892</v>
      </c>
      <c r="E99" s="1011" t="s">
        <v>1583</v>
      </c>
      <c r="F99" s="1011" t="s">
        <v>1371</v>
      </c>
    </row>
    <row r="100" spans="1:6" x14ac:dyDescent="0.25">
      <c r="A100" s="1011">
        <v>74125600</v>
      </c>
      <c r="B100" s="1011" t="s">
        <v>1893</v>
      </c>
      <c r="C100" s="1011" t="s">
        <v>1894</v>
      </c>
      <c r="D100" s="1011" t="s">
        <v>1895</v>
      </c>
      <c r="E100" s="1011" t="s">
        <v>1588</v>
      </c>
      <c r="F100" s="1011" t="s">
        <v>1896</v>
      </c>
    </row>
    <row r="101" spans="1:6" x14ac:dyDescent="0.25">
      <c r="A101" s="1011">
        <v>34124495</v>
      </c>
      <c r="B101" s="1011" t="s">
        <v>1897</v>
      </c>
      <c r="C101" s="1011" t="s">
        <v>1898</v>
      </c>
      <c r="D101" s="1011" t="s">
        <v>1899</v>
      </c>
      <c r="E101" s="1011" t="s">
        <v>1583</v>
      </c>
      <c r="F101" s="1011" t="s">
        <v>1900</v>
      </c>
    </row>
    <row r="102" spans="1:6" x14ac:dyDescent="0.25">
      <c r="A102" s="1011">
        <v>34123356</v>
      </c>
      <c r="B102" s="1011" t="s">
        <v>1901</v>
      </c>
      <c r="C102" s="1011" t="s">
        <v>1902</v>
      </c>
      <c r="D102" s="1011" t="s">
        <v>1892</v>
      </c>
      <c r="E102" s="1011" t="s">
        <v>1583</v>
      </c>
      <c r="F102" s="1011" t="s">
        <v>1371</v>
      </c>
    </row>
    <row r="103" spans="1:6" x14ac:dyDescent="0.25">
      <c r="A103" s="1011">
        <v>44144459</v>
      </c>
      <c r="B103" s="1011" t="s">
        <v>1903</v>
      </c>
      <c r="C103" s="1011" t="s">
        <v>1904</v>
      </c>
      <c r="D103" s="1011" t="s">
        <v>1641</v>
      </c>
      <c r="E103" s="1011" t="s">
        <v>1583</v>
      </c>
      <c r="F103" s="1011" t="s">
        <v>1463</v>
      </c>
    </row>
    <row r="104" spans="1:6" x14ac:dyDescent="0.25">
      <c r="A104" s="1011">
        <v>14123749</v>
      </c>
      <c r="B104" s="1011" t="s">
        <v>1905</v>
      </c>
      <c r="C104" s="1011" t="s">
        <v>1906</v>
      </c>
      <c r="D104" s="1011" t="s">
        <v>1127</v>
      </c>
      <c r="E104" s="1011" t="s">
        <v>1593</v>
      </c>
      <c r="F104" s="1011" t="s">
        <v>1449</v>
      </c>
    </row>
    <row r="105" spans="1:6" x14ac:dyDescent="0.25">
      <c r="A105" s="1011">
        <v>84125558</v>
      </c>
      <c r="B105" s="1011" t="s">
        <v>1907</v>
      </c>
      <c r="C105" s="1011" t="s">
        <v>1908</v>
      </c>
      <c r="D105" s="1011" t="s">
        <v>1909</v>
      </c>
      <c r="E105" s="1011" t="s">
        <v>1588</v>
      </c>
      <c r="F105" s="1011" t="s">
        <v>1910</v>
      </c>
    </row>
    <row r="106" spans="1:6" x14ac:dyDescent="0.25">
      <c r="A106" s="1011">
        <v>74124926</v>
      </c>
      <c r="B106" s="1011" t="s">
        <v>1911</v>
      </c>
      <c r="C106" s="1011" t="s">
        <v>1912</v>
      </c>
      <c r="D106" s="1011" t="s">
        <v>1602</v>
      </c>
      <c r="E106" s="1011" t="s">
        <v>1583</v>
      </c>
      <c r="F106" s="1011" t="s">
        <v>1457</v>
      </c>
    </row>
    <row r="107" spans="1:6" x14ac:dyDescent="0.25">
      <c r="A107" s="1011">
        <v>34126029</v>
      </c>
      <c r="B107" s="1011" t="s">
        <v>1913</v>
      </c>
      <c r="C107" s="1011" t="s">
        <v>1914</v>
      </c>
      <c r="D107" s="1011" t="s">
        <v>1915</v>
      </c>
      <c r="E107" s="1011" t="s">
        <v>1588</v>
      </c>
      <c r="F107" s="1011" t="s">
        <v>1916</v>
      </c>
    </row>
    <row r="108" spans="1:6" x14ac:dyDescent="0.25">
      <c r="A108" s="1011">
        <v>4123626</v>
      </c>
      <c r="B108" s="1011" t="s">
        <v>1917</v>
      </c>
      <c r="C108" s="1011" t="s">
        <v>1918</v>
      </c>
      <c r="D108" s="1011" t="s">
        <v>1127</v>
      </c>
      <c r="E108" s="1011" t="s">
        <v>1593</v>
      </c>
      <c r="F108" s="1011" t="s">
        <v>1383</v>
      </c>
    </row>
    <row r="109" spans="1:6" x14ac:dyDescent="0.25">
      <c r="A109" s="1011">
        <v>24124133</v>
      </c>
      <c r="B109" s="1011" t="s">
        <v>1919</v>
      </c>
      <c r="C109" s="1011" t="s">
        <v>1920</v>
      </c>
      <c r="D109" s="1011" t="s">
        <v>1921</v>
      </c>
      <c r="E109" s="1011" t="s">
        <v>1583</v>
      </c>
      <c r="F109" s="1011" t="s">
        <v>1922</v>
      </c>
    </row>
    <row r="110" spans="1:6" x14ac:dyDescent="0.25">
      <c r="A110" s="1011">
        <v>74124694</v>
      </c>
      <c r="B110" s="1011" t="s">
        <v>1923</v>
      </c>
      <c r="C110" s="1011" t="s">
        <v>1924</v>
      </c>
      <c r="D110" s="1011" t="s">
        <v>1728</v>
      </c>
      <c r="E110" s="1011" t="s">
        <v>1593</v>
      </c>
      <c r="F110" s="1011" t="s">
        <v>1729</v>
      </c>
    </row>
    <row r="111" spans="1:6" x14ac:dyDescent="0.25">
      <c r="A111" s="1011">
        <v>94125887</v>
      </c>
      <c r="B111" s="1011" t="s">
        <v>1925</v>
      </c>
      <c r="C111" s="1011" t="s">
        <v>1926</v>
      </c>
      <c r="D111" s="1011" t="s">
        <v>1927</v>
      </c>
      <c r="E111" s="1011" t="s">
        <v>1588</v>
      </c>
      <c r="F111" s="1011" t="s">
        <v>1928</v>
      </c>
    </row>
    <row r="112" spans="1:6" x14ac:dyDescent="0.25">
      <c r="A112" s="1011">
        <v>24130858</v>
      </c>
      <c r="B112" s="1011" t="s">
        <v>1929</v>
      </c>
      <c r="C112" s="1011" t="s">
        <v>1930</v>
      </c>
      <c r="D112" s="1011" t="s">
        <v>1931</v>
      </c>
      <c r="E112" s="1011" t="s">
        <v>1588</v>
      </c>
      <c r="F112" s="1011" t="s">
        <v>1932</v>
      </c>
    </row>
    <row r="113" spans="1:6" x14ac:dyDescent="0.25">
      <c r="A113" s="1011">
        <v>34126052</v>
      </c>
      <c r="B113" s="1011" t="s">
        <v>1933</v>
      </c>
      <c r="C113" s="1011" t="s">
        <v>1934</v>
      </c>
      <c r="D113" s="1011" t="s">
        <v>1935</v>
      </c>
      <c r="E113" s="1011" t="s">
        <v>1612</v>
      </c>
      <c r="F113" s="1011" t="s">
        <v>1936</v>
      </c>
    </row>
    <row r="114" spans="1:6" x14ac:dyDescent="0.25">
      <c r="A114" s="1011">
        <v>34124859</v>
      </c>
      <c r="B114" s="1011" t="s">
        <v>1937</v>
      </c>
      <c r="C114" s="1011" t="s">
        <v>1938</v>
      </c>
      <c r="D114" s="1011" t="s">
        <v>1939</v>
      </c>
      <c r="E114" s="1011" t="s">
        <v>1583</v>
      </c>
      <c r="F114" s="1011" t="s">
        <v>1940</v>
      </c>
    </row>
    <row r="115" spans="1:6" x14ac:dyDescent="0.25">
      <c r="A115" s="1011">
        <v>74125998</v>
      </c>
      <c r="B115" s="1011" t="s">
        <v>1941</v>
      </c>
      <c r="C115" s="1011" t="s">
        <v>1942</v>
      </c>
      <c r="D115" s="1011" t="s">
        <v>1943</v>
      </c>
      <c r="E115" s="1011" t="s">
        <v>1588</v>
      </c>
      <c r="F115" s="1011" t="s">
        <v>1944</v>
      </c>
    </row>
    <row r="116" spans="1:6" x14ac:dyDescent="0.25">
      <c r="A116" s="1011">
        <v>54250949</v>
      </c>
      <c r="B116" s="1011" t="s">
        <v>1945</v>
      </c>
      <c r="C116" s="1011" t="s">
        <v>1946</v>
      </c>
      <c r="D116" s="1011" t="s">
        <v>1125</v>
      </c>
      <c r="E116" s="1011" t="s">
        <v>1588</v>
      </c>
      <c r="F116" s="1011" t="s">
        <v>1616</v>
      </c>
    </row>
    <row r="117" spans="1:6" x14ac:dyDescent="0.25">
      <c r="A117" s="1011">
        <v>94141454</v>
      </c>
      <c r="B117" s="1011" t="s">
        <v>1947</v>
      </c>
      <c r="C117" s="1011" t="s">
        <v>1948</v>
      </c>
      <c r="D117" s="1011" t="s">
        <v>1127</v>
      </c>
      <c r="E117" s="1011" t="s">
        <v>1593</v>
      </c>
      <c r="F117" s="1011" t="s">
        <v>1949</v>
      </c>
    </row>
    <row r="118" spans="1:6" x14ac:dyDescent="0.25">
      <c r="A118" s="1011">
        <v>94124062</v>
      </c>
      <c r="B118" s="1011" t="s">
        <v>1950</v>
      </c>
      <c r="C118" s="1011" t="s">
        <v>1951</v>
      </c>
      <c r="D118" s="1011" t="s">
        <v>1952</v>
      </c>
      <c r="E118" s="1011" t="s">
        <v>1588</v>
      </c>
      <c r="F118" s="1011" t="s">
        <v>1953</v>
      </c>
    </row>
    <row r="119" spans="1:6" x14ac:dyDescent="0.25">
      <c r="A119" s="1011">
        <v>74123795</v>
      </c>
      <c r="B119" s="1011" t="s">
        <v>1954</v>
      </c>
      <c r="C119" s="1011" t="s">
        <v>1955</v>
      </c>
      <c r="D119" s="1011" t="s">
        <v>1685</v>
      </c>
      <c r="E119" s="1011" t="s">
        <v>1593</v>
      </c>
      <c r="F119" s="1011" t="s">
        <v>1469</v>
      </c>
    </row>
    <row r="120" spans="1:6" x14ac:dyDescent="0.25">
      <c r="A120" s="1011">
        <v>44124469</v>
      </c>
      <c r="B120" s="1011" t="s">
        <v>1956</v>
      </c>
      <c r="C120" s="1011" t="s">
        <v>1852</v>
      </c>
      <c r="D120" s="1011" t="s">
        <v>1127</v>
      </c>
      <c r="E120" s="1011" t="s">
        <v>1593</v>
      </c>
      <c r="F120" s="1011" t="s">
        <v>1383</v>
      </c>
    </row>
    <row r="121" spans="1:6" x14ac:dyDescent="0.25">
      <c r="A121" s="1011">
        <v>94125143</v>
      </c>
      <c r="B121" s="1011" t="s">
        <v>1957</v>
      </c>
      <c r="C121" s="1011" t="s">
        <v>1958</v>
      </c>
      <c r="D121" s="1011" t="s">
        <v>1959</v>
      </c>
      <c r="E121" s="1011" t="s">
        <v>1583</v>
      </c>
      <c r="F121" s="1011" t="s">
        <v>1960</v>
      </c>
    </row>
    <row r="122" spans="1:6" x14ac:dyDescent="0.25">
      <c r="A122" s="1011">
        <v>14123673</v>
      </c>
      <c r="B122" s="1011" t="s">
        <v>1961</v>
      </c>
      <c r="C122" s="1011" t="s">
        <v>1962</v>
      </c>
      <c r="D122" s="1011" t="s">
        <v>1963</v>
      </c>
      <c r="E122" s="1011" t="s">
        <v>1593</v>
      </c>
      <c r="F122" s="1011" t="s">
        <v>1964</v>
      </c>
    </row>
    <row r="123" spans="1:6" x14ac:dyDescent="0.25">
      <c r="A123" s="1011">
        <v>84124346</v>
      </c>
      <c r="B123" s="1011" t="s">
        <v>1965</v>
      </c>
      <c r="C123" s="1011" t="s">
        <v>1966</v>
      </c>
      <c r="D123" s="1011" t="s">
        <v>1880</v>
      </c>
      <c r="E123" s="1011" t="s">
        <v>1583</v>
      </c>
      <c r="F123" s="1011" t="s">
        <v>1881</v>
      </c>
    </row>
    <row r="124" spans="1:6" x14ac:dyDescent="0.25">
      <c r="A124" s="1011">
        <v>14163489</v>
      </c>
      <c r="B124" s="1011" t="s">
        <v>1967</v>
      </c>
      <c r="C124" s="1011" t="s">
        <v>1968</v>
      </c>
      <c r="D124" s="1011" t="s">
        <v>1969</v>
      </c>
      <c r="E124" s="1011" t="s">
        <v>1593</v>
      </c>
      <c r="F124" s="1011" t="s">
        <v>1970</v>
      </c>
    </row>
    <row r="125" spans="1:6" x14ac:dyDescent="0.25">
      <c r="A125" s="1011">
        <v>14170435</v>
      </c>
      <c r="B125" s="1011" t="s">
        <v>1971</v>
      </c>
      <c r="C125" s="1011" t="s">
        <v>1972</v>
      </c>
      <c r="D125" s="1011" t="s">
        <v>1127</v>
      </c>
      <c r="E125" s="1011" t="s">
        <v>1593</v>
      </c>
      <c r="F125" s="1011" t="s">
        <v>1395</v>
      </c>
    </row>
    <row r="126" spans="1:6" x14ac:dyDescent="0.25">
      <c r="A126" s="1011">
        <v>4125555</v>
      </c>
      <c r="B126" s="1011" t="s">
        <v>1973</v>
      </c>
      <c r="C126" s="1011" t="s">
        <v>1974</v>
      </c>
      <c r="D126" s="1011" t="s">
        <v>1909</v>
      </c>
      <c r="E126" s="1011" t="s">
        <v>1588</v>
      </c>
      <c r="F126" s="1011" t="s">
        <v>1910</v>
      </c>
    </row>
    <row r="127" spans="1:6" x14ac:dyDescent="0.25">
      <c r="A127" s="1011">
        <v>74123670</v>
      </c>
      <c r="B127" s="1011" t="s">
        <v>1975</v>
      </c>
      <c r="C127" s="1011" t="s">
        <v>1976</v>
      </c>
      <c r="D127" s="1011" t="s">
        <v>1127</v>
      </c>
      <c r="E127" s="1011" t="s">
        <v>1593</v>
      </c>
      <c r="F127" s="1011" t="s">
        <v>1383</v>
      </c>
    </row>
    <row r="128" spans="1:6" x14ac:dyDescent="0.25">
      <c r="A128" s="1011">
        <v>34125906</v>
      </c>
      <c r="B128" s="1011" t="s">
        <v>1977</v>
      </c>
      <c r="C128" s="1011" t="s">
        <v>1978</v>
      </c>
      <c r="D128" s="1011" t="s">
        <v>1979</v>
      </c>
      <c r="E128" s="1011" t="s">
        <v>1588</v>
      </c>
      <c r="F128" s="1011" t="s">
        <v>1980</v>
      </c>
    </row>
    <row r="129" spans="1:6" x14ac:dyDescent="0.25">
      <c r="A129" s="1011">
        <v>34123406</v>
      </c>
      <c r="B129" s="1011" t="s">
        <v>1981</v>
      </c>
      <c r="C129" s="1011" t="s">
        <v>1982</v>
      </c>
      <c r="D129" s="1011" t="s">
        <v>1983</v>
      </c>
      <c r="E129" s="1011" t="s">
        <v>1583</v>
      </c>
      <c r="F129" s="1011" t="s">
        <v>1984</v>
      </c>
    </row>
    <row r="130" spans="1:6" x14ac:dyDescent="0.25">
      <c r="A130" s="1011">
        <v>24125460</v>
      </c>
      <c r="B130" s="1011" t="s">
        <v>1985</v>
      </c>
      <c r="C130" s="1011" t="s">
        <v>1986</v>
      </c>
      <c r="D130" s="1011" t="s">
        <v>1987</v>
      </c>
      <c r="E130" s="1011" t="s">
        <v>1588</v>
      </c>
      <c r="F130" s="1011" t="s">
        <v>1988</v>
      </c>
    </row>
    <row r="131" spans="1:6" x14ac:dyDescent="0.25">
      <c r="A131" s="1011">
        <v>14170500</v>
      </c>
      <c r="B131" s="1011" t="s">
        <v>1989</v>
      </c>
      <c r="C131" s="1011" t="s">
        <v>1990</v>
      </c>
      <c r="D131" s="1011" t="s">
        <v>1767</v>
      </c>
      <c r="E131" s="1011" t="s">
        <v>1593</v>
      </c>
      <c r="F131" s="1011" t="s">
        <v>1419</v>
      </c>
    </row>
    <row r="132" spans="1:6" x14ac:dyDescent="0.25">
      <c r="A132" s="1011">
        <v>14124598</v>
      </c>
      <c r="B132" s="1011" t="s">
        <v>1991</v>
      </c>
      <c r="C132" s="1011" t="s">
        <v>1992</v>
      </c>
      <c r="D132" s="1011" t="s">
        <v>1127</v>
      </c>
      <c r="E132" s="1011" t="s">
        <v>1593</v>
      </c>
      <c r="F132" s="1011" t="s">
        <v>1445</v>
      </c>
    </row>
    <row r="133" spans="1:6" x14ac:dyDescent="0.25">
      <c r="A133" s="1011">
        <v>64251978</v>
      </c>
      <c r="B133" s="1011" t="s">
        <v>1993</v>
      </c>
      <c r="C133" s="1011" t="s">
        <v>1994</v>
      </c>
      <c r="D133" s="1011" t="s">
        <v>1125</v>
      </c>
      <c r="E133" s="1011" t="s">
        <v>1588</v>
      </c>
      <c r="F133" s="1011" t="s">
        <v>1361</v>
      </c>
    </row>
    <row r="134" spans="1:6" x14ac:dyDescent="0.25">
      <c r="A134" s="1011">
        <v>4125282</v>
      </c>
      <c r="B134" s="1011" t="s">
        <v>1995</v>
      </c>
      <c r="C134" s="1011" t="s">
        <v>1996</v>
      </c>
      <c r="D134" s="1011" t="s">
        <v>72</v>
      </c>
      <c r="E134" s="1011" t="s">
        <v>1612</v>
      </c>
      <c r="F134" s="1011" t="s">
        <v>1997</v>
      </c>
    </row>
    <row r="135" spans="1:6" x14ac:dyDescent="0.25">
      <c r="A135" s="1011">
        <v>74144445</v>
      </c>
      <c r="B135" s="1011" t="s">
        <v>1998</v>
      </c>
      <c r="C135" s="1011" t="s">
        <v>1999</v>
      </c>
      <c r="D135" s="1011" t="s">
        <v>1927</v>
      </c>
      <c r="E135" s="1011" t="s">
        <v>1588</v>
      </c>
      <c r="F135" s="1011" t="s">
        <v>1928</v>
      </c>
    </row>
    <row r="136" spans="1:6" x14ac:dyDescent="0.25">
      <c r="A136" s="1011">
        <v>94124971</v>
      </c>
      <c r="B136" s="1011" t="s">
        <v>2000</v>
      </c>
      <c r="C136" s="1011" t="s">
        <v>2001</v>
      </c>
      <c r="D136" s="1011" t="s">
        <v>1892</v>
      </c>
      <c r="E136" s="1011" t="s">
        <v>1583</v>
      </c>
      <c r="F136" s="1011" t="s">
        <v>1371</v>
      </c>
    </row>
    <row r="137" spans="1:6" x14ac:dyDescent="0.25">
      <c r="A137" s="1011">
        <v>4125910</v>
      </c>
      <c r="B137" s="1011" t="s">
        <v>2002</v>
      </c>
      <c r="C137" s="1011" t="s">
        <v>1647</v>
      </c>
      <c r="D137" s="1011" t="s">
        <v>1648</v>
      </c>
      <c r="E137" s="1011" t="s">
        <v>1588</v>
      </c>
      <c r="F137" s="1011" t="s">
        <v>1649</v>
      </c>
    </row>
    <row r="138" spans="1:6" x14ac:dyDescent="0.25">
      <c r="A138" s="1011">
        <v>74125436</v>
      </c>
      <c r="B138" s="1011" t="s">
        <v>2003</v>
      </c>
      <c r="C138" s="1011" t="s">
        <v>2004</v>
      </c>
      <c r="D138" s="1011" t="s">
        <v>1125</v>
      </c>
      <c r="E138" s="1011" t="s">
        <v>1588</v>
      </c>
      <c r="F138" s="1011" t="s">
        <v>1619</v>
      </c>
    </row>
    <row r="139" spans="1:6" x14ac:dyDescent="0.25">
      <c r="A139" s="1011">
        <v>34124289</v>
      </c>
      <c r="B139" s="1011" t="s">
        <v>2005</v>
      </c>
      <c r="C139" s="1011" t="s">
        <v>2006</v>
      </c>
      <c r="D139" s="1011" t="s">
        <v>2007</v>
      </c>
      <c r="E139" s="1011" t="s">
        <v>1588</v>
      </c>
      <c r="F139" s="1011" t="s">
        <v>2008</v>
      </c>
    </row>
    <row r="140" spans="1:6" x14ac:dyDescent="0.25">
      <c r="A140" s="1011">
        <v>74126103</v>
      </c>
      <c r="B140" s="1011" t="s">
        <v>2009</v>
      </c>
      <c r="C140" s="1011" t="s">
        <v>2010</v>
      </c>
      <c r="D140" s="1011" t="s">
        <v>2011</v>
      </c>
      <c r="E140" s="1011" t="s">
        <v>1588</v>
      </c>
      <c r="F140" s="1011" t="s">
        <v>2012</v>
      </c>
    </row>
    <row r="141" spans="1:6" x14ac:dyDescent="0.25">
      <c r="A141" s="1011">
        <v>84128834</v>
      </c>
      <c r="B141" s="1011" t="s">
        <v>2013</v>
      </c>
      <c r="C141" s="1011" t="s">
        <v>2014</v>
      </c>
      <c r="D141" s="1011" t="s">
        <v>2015</v>
      </c>
      <c r="E141" s="1011" t="s">
        <v>1593</v>
      </c>
      <c r="F141" s="1011" t="s">
        <v>2016</v>
      </c>
    </row>
    <row r="142" spans="1:6" x14ac:dyDescent="0.25">
      <c r="A142" s="1011">
        <v>44125763</v>
      </c>
      <c r="B142" s="1011" t="s">
        <v>2017</v>
      </c>
      <c r="C142" s="1011" t="s">
        <v>2018</v>
      </c>
      <c r="D142" s="1011" t="s">
        <v>1125</v>
      </c>
      <c r="E142" s="1011" t="s">
        <v>1588</v>
      </c>
      <c r="F142" s="1011" t="s">
        <v>1770</v>
      </c>
    </row>
    <row r="143" spans="1:6" x14ac:dyDescent="0.25">
      <c r="A143" s="1011">
        <v>24125965</v>
      </c>
      <c r="B143" s="1011" t="s">
        <v>2019</v>
      </c>
      <c r="C143" s="1011" t="s">
        <v>2020</v>
      </c>
      <c r="D143" s="1011" t="s">
        <v>2021</v>
      </c>
      <c r="E143" s="1011" t="s">
        <v>1588</v>
      </c>
      <c r="F143" s="1011" t="s">
        <v>2022</v>
      </c>
    </row>
    <row r="144" spans="1:6" x14ac:dyDescent="0.25">
      <c r="A144" s="1011">
        <v>54123336</v>
      </c>
      <c r="B144" s="1011" t="s">
        <v>2023</v>
      </c>
      <c r="C144" s="1011" t="s">
        <v>2024</v>
      </c>
      <c r="D144" s="1011" t="s">
        <v>2025</v>
      </c>
      <c r="E144" s="1011" t="s">
        <v>1593</v>
      </c>
      <c r="F144" s="1011" t="s">
        <v>1397</v>
      </c>
    </row>
    <row r="145" spans="1:6" x14ac:dyDescent="0.25">
      <c r="A145" s="1011">
        <v>4125381</v>
      </c>
      <c r="B145" s="1011" t="s">
        <v>2026</v>
      </c>
      <c r="C145" s="1011" t="s">
        <v>2027</v>
      </c>
      <c r="D145" s="1011" t="s">
        <v>1125</v>
      </c>
      <c r="E145" s="1011" t="s">
        <v>1588</v>
      </c>
      <c r="F145" s="1011" t="s">
        <v>2028</v>
      </c>
    </row>
    <row r="146" spans="1:6" x14ac:dyDescent="0.25">
      <c r="A146" s="1011">
        <v>94125440</v>
      </c>
      <c r="B146" s="1011" t="s">
        <v>2029</v>
      </c>
      <c r="C146" s="1011" t="s">
        <v>2030</v>
      </c>
      <c r="D146" s="1011" t="s">
        <v>1125</v>
      </c>
      <c r="E146" s="1011" t="s">
        <v>1588</v>
      </c>
      <c r="F146" s="1011" t="s">
        <v>1619</v>
      </c>
    </row>
    <row r="147" spans="1:6" x14ac:dyDescent="0.25">
      <c r="A147" s="1011">
        <v>24126005</v>
      </c>
      <c r="B147" s="1011" t="s">
        <v>2031</v>
      </c>
      <c r="C147" s="1011" t="s">
        <v>2032</v>
      </c>
      <c r="D147" s="1011" t="s">
        <v>1767</v>
      </c>
      <c r="E147" s="1011" t="s">
        <v>1593</v>
      </c>
      <c r="F147" s="1011" t="s">
        <v>1419</v>
      </c>
    </row>
    <row r="148" spans="1:6" x14ac:dyDescent="0.25">
      <c r="A148" s="1011">
        <v>84228253</v>
      </c>
      <c r="B148" s="1011" t="s">
        <v>2033</v>
      </c>
      <c r="C148" s="1011" t="s">
        <v>2034</v>
      </c>
      <c r="D148" s="1011" t="s">
        <v>1127</v>
      </c>
      <c r="E148" s="1011" t="s">
        <v>1593</v>
      </c>
      <c r="F148" s="1011" t="s">
        <v>1395</v>
      </c>
    </row>
    <row r="149" spans="1:6" x14ac:dyDescent="0.25">
      <c r="A149" s="1011">
        <v>64123680</v>
      </c>
      <c r="B149" s="1011" t="s">
        <v>2035</v>
      </c>
      <c r="C149" s="1011" t="s">
        <v>2036</v>
      </c>
      <c r="D149" s="1011" t="s">
        <v>1127</v>
      </c>
      <c r="E149" s="1011" t="s">
        <v>1593</v>
      </c>
      <c r="F149" s="1011" t="s">
        <v>1375</v>
      </c>
    </row>
    <row r="150" spans="1:6" x14ac:dyDescent="0.25">
      <c r="A150" s="1011">
        <v>54123856</v>
      </c>
      <c r="B150" s="1011" t="s">
        <v>2037</v>
      </c>
      <c r="C150" s="1011" t="s">
        <v>2038</v>
      </c>
      <c r="D150" s="1011" t="s">
        <v>1127</v>
      </c>
      <c r="E150" s="1011" t="s">
        <v>1593</v>
      </c>
      <c r="F150" s="1011" t="s">
        <v>1461</v>
      </c>
    </row>
    <row r="151" spans="1:6" x14ac:dyDescent="0.25">
      <c r="A151" s="1011">
        <v>84125640</v>
      </c>
      <c r="B151" s="1011" t="s">
        <v>2039</v>
      </c>
      <c r="C151" s="1011" t="s">
        <v>2040</v>
      </c>
      <c r="D151" s="1011" t="s">
        <v>2041</v>
      </c>
      <c r="E151" s="1011" t="s">
        <v>1588</v>
      </c>
      <c r="F151" s="1011" t="s">
        <v>2042</v>
      </c>
    </row>
    <row r="152" spans="1:6" x14ac:dyDescent="0.25">
      <c r="A152" s="1011">
        <v>44163848</v>
      </c>
      <c r="B152" s="1011" t="s">
        <v>2043</v>
      </c>
      <c r="C152" s="1011" t="s">
        <v>2044</v>
      </c>
      <c r="D152" s="1011" t="s">
        <v>1909</v>
      </c>
      <c r="E152" s="1011" t="s">
        <v>1588</v>
      </c>
      <c r="F152" s="1011" t="s">
        <v>1910</v>
      </c>
    </row>
    <row r="153" spans="1:6" x14ac:dyDescent="0.25">
      <c r="A153" s="1011">
        <v>14143978</v>
      </c>
      <c r="B153" s="1011" t="s">
        <v>2045</v>
      </c>
      <c r="C153" s="1011" t="s">
        <v>2046</v>
      </c>
      <c r="D153" s="1011" t="s">
        <v>1685</v>
      </c>
      <c r="E153" s="1011" t="s">
        <v>1593</v>
      </c>
      <c r="F153" s="1011" t="s">
        <v>1469</v>
      </c>
    </row>
    <row r="154" spans="1:6" x14ac:dyDescent="0.25">
      <c r="A154" s="1011">
        <v>14125835</v>
      </c>
      <c r="B154" s="1011" t="s">
        <v>2047</v>
      </c>
      <c r="C154" s="1011" t="s">
        <v>2048</v>
      </c>
      <c r="D154" s="1011" t="s">
        <v>2049</v>
      </c>
      <c r="E154" s="1011" t="s">
        <v>1588</v>
      </c>
      <c r="F154" s="1011" t="s">
        <v>2050</v>
      </c>
    </row>
    <row r="155" spans="1:6" x14ac:dyDescent="0.25">
      <c r="A155" s="1011">
        <v>54123377</v>
      </c>
      <c r="B155" s="1011" t="s">
        <v>2051</v>
      </c>
      <c r="C155" s="1011" t="s">
        <v>2052</v>
      </c>
      <c r="D155" s="1011" t="s">
        <v>2053</v>
      </c>
      <c r="E155" s="1011" t="s">
        <v>1593</v>
      </c>
      <c r="F155" s="1011" t="s">
        <v>2054</v>
      </c>
    </row>
    <row r="156" spans="1:6" x14ac:dyDescent="0.25">
      <c r="A156" s="1011">
        <v>54125703</v>
      </c>
      <c r="B156" s="1011" t="s">
        <v>2055</v>
      </c>
      <c r="C156" s="1011" t="s">
        <v>2056</v>
      </c>
      <c r="D156" s="1011" t="s">
        <v>1125</v>
      </c>
      <c r="E156" s="1011" t="s">
        <v>1588</v>
      </c>
      <c r="F156" s="1011" t="s">
        <v>1770</v>
      </c>
    </row>
    <row r="157" spans="1:6" x14ac:dyDescent="0.25">
      <c r="A157" s="1011">
        <v>24172876</v>
      </c>
      <c r="B157" s="1011" t="s">
        <v>2057</v>
      </c>
      <c r="C157" s="1011" t="s">
        <v>2058</v>
      </c>
      <c r="D157" s="1011" t="s">
        <v>1884</v>
      </c>
      <c r="E157" s="1011" t="s">
        <v>1593</v>
      </c>
      <c r="F157" s="1011" t="s">
        <v>1885</v>
      </c>
    </row>
    <row r="158" spans="1:6" x14ac:dyDescent="0.25">
      <c r="A158" s="1011">
        <v>94126067</v>
      </c>
      <c r="B158" s="1011" t="s">
        <v>2059</v>
      </c>
      <c r="C158" s="1011" t="s">
        <v>2060</v>
      </c>
      <c r="D158" s="1011" t="s">
        <v>1125</v>
      </c>
      <c r="E158" s="1011" t="s">
        <v>1588</v>
      </c>
      <c r="F158" s="1011" t="s">
        <v>1619</v>
      </c>
    </row>
    <row r="159" spans="1:6" x14ac:dyDescent="0.25">
      <c r="A159" s="1011">
        <v>4125472</v>
      </c>
      <c r="B159" s="1011" t="s">
        <v>2061</v>
      </c>
      <c r="C159" s="1011" t="s">
        <v>2062</v>
      </c>
      <c r="D159" s="1011" t="s">
        <v>1909</v>
      </c>
      <c r="E159" s="1011" t="s">
        <v>1588</v>
      </c>
      <c r="F159" s="1011" t="s">
        <v>1910</v>
      </c>
    </row>
    <row r="160" spans="1:6" x14ac:dyDescent="0.25">
      <c r="A160" s="1011">
        <v>84253939</v>
      </c>
      <c r="B160" s="1011" t="s">
        <v>2063</v>
      </c>
      <c r="C160" s="1011" t="s">
        <v>2064</v>
      </c>
      <c r="D160" s="1011" t="s">
        <v>2065</v>
      </c>
      <c r="E160" s="1011" t="s">
        <v>1583</v>
      </c>
      <c r="F160" s="1011" t="s">
        <v>2066</v>
      </c>
    </row>
    <row r="161" spans="1:6" x14ac:dyDescent="0.25">
      <c r="A161" s="1011">
        <v>34124024</v>
      </c>
      <c r="B161" s="1011" t="s">
        <v>2067</v>
      </c>
      <c r="C161" s="1011" t="s">
        <v>2068</v>
      </c>
      <c r="D161" s="1011" t="s">
        <v>1127</v>
      </c>
      <c r="E161" s="1011" t="s">
        <v>1593</v>
      </c>
      <c r="F161" s="1011" t="s">
        <v>1383</v>
      </c>
    </row>
    <row r="162" spans="1:6" x14ac:dyDescent="0.25">
      <c r="A162" s="1011">
        <v>54125786</v>
      </c>
      <c r="B162" s="1011" t="s">
        <v>2069</v>
      </c>
      <c r="C162" s="1011" t="s">
        <v>2070</v>
      </c>
      <c r="D162" s="1011" t="s">
        <v>2071</v>
      </c>
      <c r="E162" s="1011" t="s">
        <v>1588</v>
      </c>
      <c r="F162" s="1011" t="s">
        <v>1465</v>
      </c>
    </row>
    <row r="163" spans="1:6" x14ac:dyDescent="0.25">
      <c r="A163" s="1011">
        <v>44150563</v>
      </c>
      <c r="B163" s="1011" t="s">
        <v>2072</v>
      </c>
      <c r="C163" s="1011" t="s">
        <v>2073</v>
      </c>
      <c r="D163" s="1011" t="s">
        <v>2074</v>
      </c>
      <c r="E163" s="1011" t="s">
        <v>1593</v>
      </c>
      <c r="F163" s="1011" t="s">
        <v>2075</v>
      </c>
    </row>
    <row r="164" spans="1:6" x14ac:dyDescent="0.25">
      <c r="A164" s="1011">
        <v>24125825</v>
      </c>
      <c r="B164" s="1011" t="s">
        <v>2076</v>
      </c>
      <c r="C164" s="1011" t="s">
        <v>2077</v>
      </c>
      <c r="D164" s="1011" t="s">
        <v>1644</v>
      </c>
      <c r="E164" s="1011" t="s">
        <v>1588</v>
      </c>
      <c r="F164" s="1011" t="s">
        <v>1645</v>
      </c>
    </row>
    <row r="165" spans="1:6" x14ac:dyDescent="0.25">
      <c r="A165" s="1011">
        <v>74124462</v>
      </c>
      <c r="B165" s="1011" t="s">
        <v>2078</v>
      </c>
      <c r="C165" s="1011" t="s">
        <v>2079</v>
      </c>
      <c r="D165" s="1011" t="s">
        <v>2080</v>
      </c>
      <c r="E165" s="1011" t="s">
        <v>1593</v>
      </c>
      <c r="F165" s="1011" t="s">
        <v>2081</v>
      </c>
    </row>
    <row r="166" spans="1:6" x14ac:dyDescent="0.25">
      <c r="A166" s="1011">
        <v>64123474</v>
      </c>
      <c r="B166" s="1011" t="s">
        <v>2082</v>
      </c>
      <c r="C166" s="1011" t="s">
        <v>2083</v>
      </c>
      <c r="D166" s="1011" t="s">
        <v>1127</v>
      </c>
      <c r="E166" s="1011" t="s">
        <v>1593</v>
      </c>
      <c r="F166" s="1011" t="s">
        <v>2084</v>
      </c>
    </row>
    <row r="167" spans="1:6" x14ac:dyDescent="0.25">
      <c r="A167" s="1011">
        <v>54123864</v>
      </c>
      <c r="B167" s="1011" t="s">
        <v>2085</v>
      </c>
      <c r="C167" s="1011" t="s">
        <v>2086</v>
      </c>
      <c r="D167" s="1011" t="s">
        <v>1728</v>
      </c>
      <c r="E167" s="1011" t="s">
        <v>1593</v>
      </c>
      <c r="F167" s="1011" t="s">
        <v>1729</v>
      </c>
    </row>
    <row r="168" spans="1:6" x14ac:dyDescent="0.25">
      <c r="A168" s="1011">
        <v>94125150</v>
      </c>
      <c r="B168" s="1011" t="s">
        <v>2087</v>
      </c>
      <c r="C168" s="1011" t="s">
        <v>2088</v>
      </c>
      <c r="D168" s="1011" t="s">
        <v>1959</v>
      </c>
      <c r="E168" s="1011" t="s">
        <v>1583</v>
      </c>
      <c r="F168" s="1011" t="s">
        <v>1960</v>
      </c>
    </row>
    <row r="169" spans="1:6" x14ac:dyDescent="0.25">
      <c r="A169" s="1011">
        <v>34126086</v>
      </c>
      <c r="B169" s="1011" t="s">
        <v>2089</v>
      </c>
      <c r="C169" s="1011" t="s">
        <v>2090</v>
      </c>
      <c r="D169" s="1011" t="s">
        <v>1125</v>
      </c>
      <c r="E169" s="1011" t="s">
        <v>1588</v>
      </c>
      <c r="F169" s="1011" t="s">
        <v>1770</v>
      </c>
    </row>
    <row r="170" spans="1:6" x14ac:dyDescent="0.25">
      <c r="A170" s="1011">
        <v>34124354</v>
      </c>
      <c r="B170" s="1011" t="s">
        <v>2091</v>
      </c>
      <c r="C170" s="1011" t="s">
        <v>2092</v>
      </c>
      <c r="D170" s="1011" t="s">
        <v>2093</v>
      </c>
      <c r="E170" s="1011" t="s">
        <v>1593</v>
      </c>
      <c r="F170" s="1011" t="s">
        <v>2094</v>
      </c>
    </row>
    <row r="171" spans="1:6" x14ac:dyDescent="0.25">
      <c r="A171" s="1011">
        <v>74125899</v>
      </c>
      <c r="B171" s="1011" t="s">
        <v>2095</v>
      </c>
      <c r="C171" s="1011" t="s">
        <v>2096</v>
      </c>
      <c r="D171" s="1011" t="s">
        <v>2097</v>
      </c>
      <c r="E171" s="1011" t="s">
        <v>1588</v>
      </c>
      <c r="F171" s="1011" t="s">
        <v>2098</v>
      </c>
    </row>
    <row r="172" spans="1:6" x14ac:dyDescent="0.25">
      <c r="A172" s="1011">
        <v>84253889</v>
      </c>
      <c r="B172" s="1011" t="s">
        <v>2099</v>
      </c>
      <c r="C172" s="1011" t="s">
        <v>2100</v>
      </c>
      <c r="D172" s="1011" t="s">
        <v>2101</v>
      </c>
      <c r="E172" s="1011" t="s">
        <v>1593</v>
      </c>
      <c r="F172" s="1011" t="s">
        <v>2102</v>
      </c>
    </row>
    <row r="173" spans="1:6" x14ac:dyDescent="0.25">
      <c r="A173" s="1011">
        <v>54123583</v>
      </c>
      <c r="B173" s="1011" t="s">
        <v>2103</v>
      </c>
      <c r="C173" s="1011" t="s">
        <v>2104</v>
      </c>
      <c r="D173" s="1011" t="s">
        <v>1127</v>
      </c>
      <c r="E173" s="1011" t="s">
        <v>1593</v>
      </c>
      <c r="F173" s="1011" t="s">
        <v>1449</v>
      </c>
    </row>
    <row r="174" spans="1:6" x14ac:dyDescent="0.25">
      <c r="A174" s="1011">
        <v>14125090</v>
      </c>
      <c r="B174" s="1011" t="s">
        <v>2105</v>
      </c>
      <c r="C174" s="1011" t="s">
        <v>2106</v>
      </c>
      <c r="D174" s="1011" t="s">
        <v>2107</v>
      </c>
      <c r="E174" s="1011" t="s">
        <v>1583</v>
      </c>
      <c r="F174" s="1011" t="s">
        <v>2108</v>
      </c>
    </row>
    <row r="175" spans="1:6" x14ac:dyDescent="0.25">
      <c r="A175" s="1011">
        <v>44125540</v>
      </c>
      <c r="B175" s="1011" t="s">
        <v>2109</v>
      </c>
      <c r="C175" s="1011" t="s">
        <v>2110</v>
      </c>
      <c r="D175" s="1011" t="s">
        <v>72</v>
      </c>
      <c r="E175" s="1011" t="s">
        <v>1612</v>
      </c>
      <c r="F175" s="1011" t="s">
        <v>2111</v>
      </c>
    </row>
    <row r="176" spans="1:6" x14ac:dyDescent="0.25">
      <c r="A176" s="1011">
        <v>24124240</v>
      </c>
      <c r="B176" s="1011" t="s">
        <v>2112</v>
      </c>
      <c r="C176" s="1011" t="s">
        <v>2113</v>
      </c>
      <c r="D176" s="1011" t="s">
        <v>2114</v>
      </c>
      <c r="E176" s="1011" t="s">
        <v>1583</v>
      </c>
      <c r="F176" s="1011" t="s">
        <v>1357</v>
      </c>
    </row>
    <row r="177" spans="1:6" x14ac:dyDescent="0.25">
      <c r="A177" s="1011">
        <v>64126030</v>
      </c>
      <c r="B177" s="1011" t="s">
        <v>2115</v>
      </c>
      <c r="C177" s="1011" t="s">
        <v>2116</v>
      </c>
      <c r="D177" s="1011" t="s">
        <v>2011</v>
      </c>
      <c r="E177" s="1011" t="s">
        <v>1588</v>
      </c>
      <c r="F177" s="1011" t="s">
        <v>2012</v>
      </c>
    </row>
    <row r="178" spans="1:6" x14ac:dyDescent="0.25">
      <c r="A178" s="1011">
        <v>84126085</v>
      </c>
      <c r="B178" s="1011" t="s">
        <v>2117</v>
      </c>
      <c r="C178" s="1011" t="s">
        <v>2118</v>
      </c>
      <c r="D178" s="1011" t="s">
        <v>1831</v>
      </c>
      <c r="E178" s="1011" t="s">
        <v>1588</v>
      </c>
      <c r="F178" s="1011" t="s">
        <v>1832</v>
      </c>
    </row>
    <row r="179" spans="1:6" x14ac:dyDescent="0.25">
      <c r="A179" s="1011">
        <v>84124205</v>
      </c>
      <c r="B179" s="1011" t="s">
        <v>2119</v>
      </c>
      <c r="C179" s="1011" t="s">
        <v>2120</v>
      </c>
      <c r="D179" s="1011" t="s">
        <v>2121</v>
      </c>
      <c r="E179" s="1011" t="s">
        <v>1593</v>
      </c>
      <c r="F179" s="1011" t="s">
        <v>2122</v>
      </c>
    </row>
    <row r="180" spans="1:6" x14ac:dyDescent="0.25">
      <c r="A180" s="1011">
        <v>64123383</v>
      </c>
      <c r="B180" s="1011" t="s">
        <v>2123</v>
      </c>
      <c r="C180" s="1011" t="s">
        <v>2124</v>
      </c>
      <c r="D180" s="1011" t="s">
        <v>2125</v>
      </c>
      <c r="E180" s="1011" t="s">
        <v>1593</v>
      </c>
      <c r="F180" s="1011" t="s">
        <v>2126</v>
      </c>
    </row>
    <row r="181" spans="1:6" x14ac:dyDescent="0.25">
      <c r="A181" s="1011">
        <v>84124007</v>
      </c>
      <c r="B181" s="1011" t="s">
        <v>2127</v>
      </c>
      <c r="C181" s="1011" t="s">
        <v>2128</v>
      </c>
      <c r="D181" s="1011" t="s">
        <v>1127</v>
      </c>
      <c r="E181" s="1011" t="s">
        <v>1593</v>
      </c>
      <c r="F181" s="1011" t="s">
        <v>1341</v>
      </c>
    </row>
    <row r="182" spans="1:6" x14ac:dyDescent="0.25">
      <c r="A182" s="1011">
        <v>84258615</v>
      </c>
      <c r="B182" s="1011" t="s">
        <v>2129</v>
      </c>
      <c r="C182" s="1011" t="s">
        <v>2130</v>
      </c>
      <c r="D182" s="1011" t="s">
        <v>1125</v>
      </c>
      <c r="E182" s="1011" t="s">
        <v>1588</v>
      </c>
      <c r="F182" s="1011" t="s">
        <v>1619</v>
      </c>
    </row>
    <row r="183" spans="1:6" x14ac:dyDescent="0.25">
      <c r="A183" s="1011">
        <v>24124695</v>
      </c>
      <c r="B183" s="1011" t="s">
        <v>2131</v>
      </c>
      <c r="C183" s="1011" t="s">
        <v>2132</v>
      </c>
      <c r="D183" s="1011" t="s">
        <v>2133</v>
      </c>
      <c r="E183" s="1011" t="s">
        <v>1593</v>
      </c>
      <c r="F183" s="1011" t="s">
        <v>2134</v>
      </c>
    </row>
    <row r="184" spans="1:6" x14ac:dyDescent="0.25">
      <c r="A184" s="1011">
        <v>34125658</v>
      </c>
      <c r="B184" s="1011" t="s">
        <v>2135</v>
      </c>
      <c r="C184" s="1011" t="s">
        <v>2136</v>
      </c>
      <c r="D184" s="1011" t="s">
        <v>2137</v>
      </c>
      <c r="E184" s="1011" t="s">
        <v>1588</v>
      </c>
      <c r="F184" s="1011" t="s">
        <v>2138</v>
      </c>
    </row>
    <row r="185" spans="1:6" x14ac:dyDescent="0.25">
      <c r="A185" s="1011">
        <v>94123817</v>
      </c>
      <c r="B185" s="1011" t="s">
        <v>2139</v>
      </c>
      <c r="C185" s="1011" t="s">
        <v>2140</v>
      </c>
      <c r="D185" s="1011" t="s">
        <v>2141</v>
      </c>
      <c r="E185" s="1011" t="s">
        <v>1593</v>
      </c>
      <c r="F185" s="1011" t="s">
        <v>2142</v>
      </c>
    </row>
    <row r="186" spans="1:6" x14ac:dyDescent="0.25">
      <c r="A186" s="1011">
        <v>24142085</v>
      </c>
      <c r="B186" s="1011" t="s">
        <v>2143</v>
      </c>
      <c r="C186" s="1011" t="s">
        <v>2144</v>
      </c>
      <c r="D186" s="1011" t="s">
        <v>2145</v>
      </c>
      <c r="E186" s="1011" t="s">
        <v>1593</v>
      </c>
      <c r="F186" s="1011" t="s">
        <v>2146</v>
      </c>
    </row>
    <row r="187" spans="1:6" x14ac:dyDescent="0.25">
      <c r="A187" s="1011">
        <v>34124719</v>
      </c>
      <c r="B187" s="1011" t="s">
        <v>2147</v>
      </c>
      <c r="C187" s="1011" t="s">
        <v>2148</v>
      </c>
      <c r="D187" s="1011" t="s">
        <v>2074</v>
      </c>
      <c r="E187" s="1011" t="s">
        <v>1593</v>
      </c>
      <c r="F187" s="1011" t="s">
        <v>2075</v>
      </c>
    </row>
    <row r="188" spans="1:6" x14ac:dyDescent="0.25">
      <c r="A188" s="1011">
        <v>24168569</v>
      </c>
      <c r="B188" s="1011" t="s">
        <v>2149</v>
      </c>
      <c r="C188" s="1011" t="s">
        <v>2150</v>
      </c>
      <c r="D188" s="1011" t="s">
        <v>1815</v>
      </c>
      <c r="E188" s="1011" t="s">
        <v>1593</v>
      </c>
      <c r="F188" s="1011" t="s">
        <v>1816</v>
      </c>
    </row>
    <row r="189" spans="1:6" x14ac:dyDescent="0.25">
      <c r="A189" s="1011">
        <v>74125576</v>
      </c>
      <c r="B189" s="1011" t="s">
        <v>2151</v>
      </c>
      <c r="C189" s="1011" t="s">
        <v>2152</v>
      </c>
      <c r="D189" s="1011" t="s">
        <v>2153</v>
      </c>
      <c r="E189" s="1011" t="s">
        <v>1588</v>
      </c>
      <c r="F189" s="1011" t="s">
        <v>1399</v>
      </c>
    </row>
    <row r="190" spans="1:6" x14ac:dyDescent="0.25">
      <c r="A190" s="1011">
        <v>74124439</v>
      </c>
      <c r="B190" s="1011" t="s">
        <v>2154</v>
      </c>
      <c r="C190" s="1011" t="s">
        <v>2155</v>
      </c>
      <c r="D190" s="1011" t="s">
        <v>2156</v>
      </c>
      <c r="E190" s="1011" t="s">
        <v>1583</v>
      </c>
      <c r="F190" s="1011" t="s">
        <v>2157</v>
      </c>
    </row>
    <row r="191" spans="1:6" x14ac:dyDescent="0.25">
      <c r="A191" s="1011">
        <v>14169312</v>
      </c>
      <c r="B191" s="1011" t="s">
        <v>2158</v>
      </c>
      <c r="C191" s="1011" t="s">
        <v>2159</v>
      </c>
      <c r="D191" s="1011" t="s">
        <v>1767</v>
      </c>
      <c r="E191" s="1011" t="s">
        <v>1593</v>
      </c>
      <c r="F191" s="1011" t="s">
        <v>1419</v>
      </c>
    </row>
    <row r="192" spans="1:6" x14ac:dyDescent="0.25">
      <c r="A192" s="1011">
        <v>4123709</v>
      </c>
      <c r="B192" s="1011" t="s">
        <v>2160</v>
      </c>
      <c r="C192" s="1011" t="s">
        <v>2161</v>
      </c>
      <c r="D192" s="1011" t="s">
        <v>1756</v>
      </c>
      <c r="E192" s="1011" t="s">
        <v>1593</v>
      </c>
      <c r="F192" s="1011" t="s">
        <v>1429</v>
      </c>
    </row>
    <row r="193" spans="1:6" x14ac:dyDescent="0.25">
      <c r="A193" s="1011">
        <v>54125422</v>
      </c>
      <c r="B193" s="1011" t="s">
        <v>2162</v>
      </c>
      <c r="C193" s="1011" t="s">
        <v>2163</v>
      </c>
      <c r="D193" s="1011" t="s">
        <v>2164</v>
      </c>
      <c r="E193" s="1011" t="s">
        <v>1588</v>
      </c>
      <c r="F193" s="1011" t="s">
        <v>2165</v>
      </c>
    </row>
    <row r="194" spans="1:6" x14ac:dyDescent="0.25">
      <c r="A194" s="1011">
        <v>24123465</v>
      </c>
      <c r="B194" s="1011" t="s">
        <v>2166</v>
      </c>
      <c r="C194" s="1011" t="s">
        <v>2167</v>
      </c>
      <c r="D194" s="1011" t="s">
        <v>1127</v>
      </c>
      <c r="E194" s="1011" t="s">
        <v>1593</v>
      </c>
      <c r="F194" s="1011" t="s">
        <v>1383</v>
      </c>
    </row>
    <row r="195" spans="1:6" x14ac:dyDescent="0.25">
      <c r="A195" s="1011">
        <v>84230424</v>
      </c>
      <c r="B195" s="1011" t="s">
        <v>2168</v>
      </c>
      <c r="C195" s="1011" t="s">
        <v>2169</v>
      </c>
      <c r="D195" s="1011" t="s">
        <v>1127</v>
      </c>
      <c r="E195" s="1011" t="s">
        <v>1593</v>
      </c>
      <c r="F195" s="1011" t="s">
        <v>1383</v>
      </c>
    </row>
    <row r="196" spans="1:6" x14ac:dyDescent="0.25">
      <c r="A196" s="1011">
        <v>44123438</v>
      </c>
      <c r="B196" s="1011" t="s">
        <v>2170</v>
      </c>
      <c r="C196" s="1011" t="s">
        <v>2171</v>
      </c>
      <c r="D196" s="1011" t="s">
        <v>1694</v>
      </c>
      <c r="E196" s="1011" t="s">
        <v>1593</v>
      </c>
      <c r="F196" s="1011" t="s">
        <v>1695</v>
      </c>
    </row>
    <row r="197" spans="1:6" x14ac:dyDescent="0.25">
      <c r="A197" s="1011">
        <v>54124458</v>
      </c>
      <c r="B197" s="1011" t="s">
        <v>2172</v>
      </c>
      <c r="C197" s="1011" t="s">
        <v>2173</v>
      </c>
      <c r="D197" s="1011" t="s">
        <v>2174</v>
      </c>
      <c r="E197" s="1011" t="s">
        <v>1593</v>
      </c>
      <c r="F197" s="1011" t="s">
        <v>2175</v>
      </c>
    </row>
    <row r="198" spans="1:6" x14ac:dyDescent="0.25">
      <c r="A198" s="1011">
        <v>34125419</v>
      </c>
      <c r="B198" s="1011" t="s">
        <v>2176</v>
      </c>
      <c r="C198" s="1011" t="s">
        <v>2177</v>
      </c>
      <c r="D198" s="1011" t="s">
        <v>2178</v>
      </c>
      <c r="E198" s="1011" t="s">
        <v>1588</v>
      </c>
      <c r="F198" s="1011" t="s">
        <v>2179</v>
      </c>
    </row>
    <row r="199" spans="1:6" x14ac:dyDescent="0.25">
      <c r="A199" s="1011">
        <v>54125711</v>
      </c>
      <c r="B199" s="1011" t="s">
        <v>2180</v>
      </c>
      <c r="C199" s="1011" t="s">
        <v>2181</v>
      </c>
      <c r="D199" s="1011" t="s">
        <v>2182</v>
      </c>
      <c r="E199" s="1011" t="s">
        <v>1588</v>
      </c>
      <c r="F199" s="1011" t="s">
        <v>2183</v>
      </c>
    </row>
    <row r="200" spans="1:6" x14ac:dyDescent="0.25">
      <c r="A200" s="1011">
        <v>64125792</v>
      </c>
      <c r="B200" s="1011" t="s">
        <v>2184</v>
      </c>
      <c r="C200" s="1011" t="s">
        <v>2185</v>
      </c>
      <c r="D200" s="1011" t="s">
        <v>1717</v>
      </c>
      <c r="E200" s="1011" t="s">
        <v>1588</v>
      </c>
      <c r="F200" s="1011" t="s">
        <v>1718</v>
      </c>
    </row>
    <row r="201" spans="1:6" x14ac:dyDescent="0.25">
      <c r="A201" s="1011">
        <v>64123391</v>
      </c>
      <c r="B201" s="1011" t="s">
        <v>2186</v>
      </c>
      <c r="C201" s="1011" t="s">
        <v>2187</v>
      </c>
      <c r="D201" s="1011" t="s">
        <v>1728</v>
      </c>
      <c r="E201" s="1011" t="s">
        <v>1593</v>
      </c>
      <c r="F201" s="1011" t="s">
        <v>1729</v>
      </c>
    </row>
    <row r="202" spans="1:6" x14ac:dyDescent="0.25">
      <c r="A202" s="1011">
        <v>74126020</v>
      </c>
      <c r="B202" s="1011" t="s">
        <v>2188</v>
      </c>
      <c r="C202" s="1011" t="s">
        <v>2189</v>
      </c>
      <c r="D202" s="1011" t="s">
        <v>1125</v>
      </c>
      <c r="E202" s="1011" t="s">
        <v>1588</v>
      </c>
      <c r="F202" s="1011" t="s">
        <v>1770</v>
      </c>
    </row>
    <row r="203" spans="1:6" x14ac:dyDescent="0.25">
      <c r="A203" s="1011">
        <v>84125541</v>
      </c>
      <c r="B203" s="1011" t="s">
        <v>2190</v>
      </c>
      <c r="C203" s="1011" t="s">
        <v>2191</v>
      </c>
      <c r="D203" s="1011" t="s">
        <v>1735</v>
      </c>
      <c r="E203" s="1011" t="s">
        <v>1588</v>
      </c>
      <c r="F203" s="1011" t="s">
        <v>1736</v>
      </c>
    </row>
    <row r="204" spans="1:6" x14ac:dyDescent="0.25">
      <c r="A204" s="1011">
        <v>54125299</v>
      </c>
      <c r="B204" s="1011" t="s">
        <v>2192</v>
      </c>
      <c r="C204" s="1011" t="s">
        <v>2193</v>
      </c>
      <c r="D204" s="1011" t="s">
        <v>1943</v>
      </c>
      <c r="E204" s="1011" t="s">
        <v>1588</v>
      </c>
      <c r="F204" s="1011" t="s">
        <v>1944</v>
      </c>
    </row>
    <row r="205" spans="1:6" x14ac:dyDescent="0.25">
      <c r="A205" s="1011">
        <v>44124022</v>
      </c>
      <c r="B205" s="1011" t="s">
        <v>2194</v>
      </c>
      <c r="C205" s="1011" t="s">
        <v>2195</v>
      </c>
      <c r="D205" s="1011" t="s">
        <v>1127</v>
      </c>
      <c r="E205" s="1011" t="s">
        <v>1593</v>
      </c>
      <c r="F205" s="1011" t="s">
        <v>1461</v>
      </c>
    </row>
    <row r="206" spans="1:6" x14ac:dyDescent="0.25">
      <c r="A206" s="1011">
        <v>84123645</v>
      </c>
      <c r="B206" s="1011" t="s">
        <v>2196</v>
      </c>
      <c r="C206" s="1011" t="s">
        <v>2197</v>
      </c>
      <c r="D206" s="1011" t="s">
        <v>1127</v>
      </c>
      <c r="E206" s="1011" t="s">
        <v>1593</v>
      </c>
      <c r="F206" s="1011" t="s">
        <v>1383</v>
      </c>
    </row>
    <row r="207" spans="1:6" x14ac:dyDescent="0.25">
      <c r="A207" s="1011">
        <v>34137984</v>
      </c>
      <c r="B207" s="1011" t="s">
        <v>2198</v>
      </c>
      <c r="C207" s="1011" t="s">
        <v>2199</v>
      </c>
      <c r="D207" s="1011" t="s">
        <v>1892</v>
      </c>
      <c r="E207" s="1011" t="s">
        <v>1583</v>
      </c>
      <c r="F207" s="1011" t="s">
        <v>1371</v>
      </c>
    </row>
    <row r="208" spans="1:6" x14ac:dyDescent="0.25">
      <c r="A208" s="1011">
        <v>74124900</v>
      </c>
      <c r="B208" s="1011" t="s">
        <v>2200</v>
      </c>
      <c r="C208" s="1011" t="s">
        <v>2201</v>
      </c>
      <c r="D208" s="1011" t="s">
        <v>2202</v>
      </c>
      <c r="E208" s="1011" t="s">
        <v>1583</v>
      </c>
      <c r="F208" s="1011" t="s">
        <v>2203</v>
      </c>
    </row>
    <row r="209" spans="1:6" x14ac:dyDescent="0.25">
      <c r="A209" s="1011">
        <v>94220076</v>
      </c>
      <c r="B209" s="1011" t="s">
        <v>2204</v>
      </c>
      <c r="C209" s="1011" t="s">
        <v>2205</v>
      </c>
      <c r="D209" s="1011" t="s">
        <v>2206</v>
      </c>
      <c r="E209" s="1011" t="s">
        <v>1593</v>
      </c>
      <c r="F209" s="1011" t="s">
        <v>2207</v>
      </c>
    </row>
    <row r="210" spans="1:6" x14ac:dyDescent="0.25">
      <c r="A210" s="1011">
        <v>94124401</v>
      </c>
      <c r="B210" s="1011" t="s">
        <v>2208</v>
      </c>
      <c r="C210" s="1011" t="s">
        <v>2209</v>
      </c>
      <c r="D210" s="1011" t="s">
        <v>1127</v>
      </c>
      <c r="E210" s="1011" t="s">
        <v>1593</v>
      </c>
      <c r="F210" s="1011" t="s">
        <v>1445</v>
      </c>
    </row>
    <row r="211" spans="1:6" x14ac:dyDescent="0.25">
      <c r="A211" s="1011">
        <v>4124129</v>
      </c>
      <c r="B211" s="1011" t="s">
        <v>2210</v>
      </c>
      <c r="C211" s="1011" t="s">
        <v>2211</v>
      </c>
      <c r="D211" s="1011" t="s">
        <v>1127</v>
      </c>
      <c r="E211" s="1011" t="s">
        <v>1593</v>
      </c>
      <c r="F211" s="1011" t="s">
        <v>1445</v>
      </c>
    </row>
    <row r="212" spans="1:6" x14ac:dyDescent="0.25">
      <c r="A212" s="1011">
        <v>94123320</v>
      </c>
      <c r="B212" s="1011" t="s">
        <v>2212</v>
      </c>
      <c r="C212" s="1011" t="s">
        <v>2213</v>
      </c>
      <c r="D212" s="1011" t="s">
        <v>1685</v>
      </c>
      <c r="E212" s="1011" t="s">
        <v>1593</v>
      </c>
      <c r="F212" s="1011" t="s">
        <v>1469</v>
      </c>
    </row>
    <row r="213" spans="1:6" x14ac:dyDescent="0.25">
      <c r="A213" s="1011">
        <v>4234043</v>
      </c>
      <c r="B213" s="1011" t="s">
        <v>2214</v>
      </c>
      <c r="C213" s="1011" t="s">
        <v>2215</v>
      </c>
      <c r="D213" s="1011" t="s">
        <v>2216</v>
      </c>
      <c r="E213" s="1011" t="s">
        <v>1593</v>
      </c>
      <c r="F213" s="1011" t="s">
        <v>2217</v>
      </c>
    </row>
    <row r="214" spans="1:6" x14ac:dyDescent="0.25">
      <c r="A214" s="1011">
        <v>14125983</v>
      </c>
      <c r="B214" s="1011" t="s">
        <v>2218</v>
      </c>
      <c r="C214" s="1011" t="s">
        <v>2219</v>
      </c>
      <c r="D214" s="1011" t="s">
        <v>1831</v>
      </c>
      <c r="E214" s="1011" t="s">
        <v>1588</v>
      </c>
      <c r="F214" s="1011" t="s">
        <v>1832</v>
      </c>
    </row>
    <row r="215" spans="1:6" x14ac:dyDescent="0.25">
      <c r="A215" s="1011">
        <v>24123366</v>
      </c>
      <c r="B215" s="1011" t="s">
        <v>2220</v>
      </c>
      <c r="C215" s="1011" t="s">
        <v>2221</v>
      </c>
      <c r="D215" s="1011" t="s">
        <v>1127</v>
      </c>
      <c r="E215" s="1011" t="s">
        <v>1593</v>
      </c>
      <c r="F215" s="1011" t="s">
        <v>1341</v>
      </c>
    </row>
    <row r="216" spans="1:6" x14ac:dyDescent="0.25">
      <c r="A216" s="1011">
        <v>24148926</v>
      </c>
      <c r="B216" s="1011" t="s">
        <v>2222</v>
      </c>
      <c r="C216" s="1011" t="s">
        <v>2223</v>
      </c>
      <c r="D216" s="1011" t="s">
        <v>2224</v>
      </c>
      <c r="E216" s="1011" t="s">
        <v>1593</v>
      </c>
      <c r="F216" s="1011" t="s">
        <v>2225</v>
      </c>
    </row>
    <row r="217" spans="1:6" x14ac:dyDescent="0.25">
      <c r="A217" s="1011">
        <v>14125447</v>
      </c>
      <c r="B217" s="1011" t="s">
        <v>2226</v>
      </c>
      <c r="C217" s="1011" t="s">
        <v>2227</v>
      </c>
      <c r="D217" s="1011" t="s">
        <v>2228</v>
      </c>
      <c r="E217" s="1011" t="s">
        <v>1588</v>
      </c>
      <c r="F217" s="1011" t="s">
        <v>2229</v>
      </c>
    </row>
    <row r="218" spans="1:6" x14ac:dyDescent="0.25">
      <c r="A218" s="1011">
        <v>4126173</v>
      </c>
      <c r="B218" s="1011" t="s">
        <v>2230</v>
      </c>
      <c r="C218" s="1011" t="s">
        <v>2231</v>
      </c>
      <c r="D218" s="1011" t="s">
        <v>2232</v>
      </c>
      <c r="E218" s="1011" t="s">
        <v>1612</v>
      </c>
      <c r="F218" s="1011" t="s">
        <v>2233</v>
      </c>
    </row>
    <row r="219" spans="1:6" x14ac:dyDescent="0.25">
      <c r="A219" s="1011">
        <v>94125721</v>
      </c>
      <c r="B219" s="1011" t="s">
        <v>2234</v>
      </c>
      <c r="C219" s="1011" t="s">
        <v>2235</v>
      </c>
      <c r="D219" s="1011" t="s">
        <v>2041</v>
      </c>
      <c r="E219" s="1011" t="s">
        <v>1588</v>
      </c>
      <c r="F219" s="1011" t="s">
        <v>2042</v>
      </c>
    </row>
    <row r="220" spans="1:6" x14ac:dyDescent="0.25">
      <c r="A220" s="1011">
        <v>64123854</v>
      </c>
      <c r="B220" s="1011" t="s">
        <v>2236</v>
      </c>
      <c r="C220" s="1011" t="s">
        <v>2237</v>
      </c>
      <c r="D220" s="1011" t="s">
        <v>2238</v>
      </c>
      <c r="E220" s="1011" t="s">
        <v>1593</v>
      </c>
      <c r="F220" s="1011" t="s">
        <v>2239</v>
      </c>
    </row>
    <row r="221" spans="1:6" x14ac:dyDescent="0.25">
      <c r="A221" s="1011">
        <v>24163180</v>
      </c>
      <c r="B221" s="1011" t="s">
        <v>2240</v>
      </c>
      <c r="C221" s="1011" t="s">
        <v>2241</v>
      </c>
      <c r="D221" s="1011" t="s">
        <v>2242</v>
      </c>
      <c r="E221" s="1011" t="s">
        <v>1583</v>
      </c>
      <c r="F221" s="1011" t="s">
        <v>2243</v>
      </c>
    </row>
    <row r="222" spans="1:6" x14ac:dyDescent="0.25">
      <c r="A222" s="1011">
        <v>84124197</v>
      </c>
      <c r="B222" s="1011" t="s">
        <v>2244</v>
      </c>
      <c r="C222" s="1011" t="s">
        <v>2245</v>
      </c>
      <c r="D222" s="1011" t="s">
        <v>2246</v>
      </c>
      <c r="E222" s="1011" t="s">
        <v>1593</v>
      </c>
      <c r="F222" s="1011" t="s">
        <v>1431</v>
      </c>
    </row>
    <row r="223" spans="1:6" x14ac:dyDescent="0.25">
      <c r="A223" s="1011">
        <v>84123421</v>
      </c>
      <c r="B223" s="1011" t="s">
        <v>2247</v>
      </c>
      <c r="C223" s="1011" t="s">
        <v>2248</v>
      </c>
      <c r="D223" s="1011" t="s">
        <v>1815</v>
      </c>
      <c r="E223" s="1011" t="s">
        <v>1593</v>
      </c>
      <c r="F223" s="1011" t="s">
        <v>1816</v>
      </c>
    </row>
    <row r="224" spans="1:6" x14ac:dyDescent="0.25">
      <c r="A224" s="1011">
        <v>34124552</v>
      </c>
      <c r="B224" s="1011" t="s">
        <v>2249</v>
      </c>
      <c r="C224" s="1011" t="s">
        <v>2250</v>
      </c>
      <c r="D224" s="1011" t="s">
        <v>2251</v>
      </c>
      <c r="E224" s="1011" t="s">
        <v>1593</v>
      </c>
      <c r="F224" s="1011" t="s">
        <v>2252</v>
      </c>
    </row>
    <row r="225" spans="1:6" x14ac:dyDescent="0.25">
      <c r="A225" s="1011">
        <v>44123495</v>
      </c>
      <c r="B225" s="1011" t="s">
        <v>2253</v>
      </c>
      <c r="C225" s="1011" t="s">
        <v>2254</v>
      </c>
      <c r="D225" s="1011" t="s">
        <v>1127</v>
      </c>
      <c r="E225" s="1011" t="s">
        <v>1593</v>
      </c>
      <c r="F225" s="1011" t="s">
        <v>1383</v>
      </c>
    </row>
    <row r="226" spans="1:6" x14ac:dyDescent="0.25">
      <c r="A226" s="1011">
        <v>84125707</v>
      </c>
      <c r="B226" s="1011" t="s">
        <v>2255</v>
      </c>
      <c r="C226" s="1011" t="s">
        <v>2256</v>
      </c>
      <c r="D226" s="1011" t="s">
        <v>1679</v>
      </c>
      <c r="E226" s="1011" t="s">
        <v>1588</v>
      </c>
      <c r="F226" s="1011" t="s">
        <v>1427</v>
      </c>
    </row>
    <row r="227" spans="1:6" x14ac:dyDescent="0.25">
      <c r="A227" s="1011">
        <v>64123409</v>
      </c>
      <c r="B227" s="1011" t="s">
        <v>2257</v>
      </c>
      <c r="C227" s="1011" t="s">
        <v>2258</v>
      </c>
      <c r="D227" s="1011" t="s">
        <v>1728</v>
      </c>
      <c r="E227" s="1011" t="s">
        <v>1593</v>
      </c>
      <c r="F227" s="1011" t="s">
        <v>1729</v>
      </c>
    </row>
    <row r="228" spans="1:6" x14ac:dyDescent="0.25">
      <c r="A228" s="1011">
        <v>84125921</v>
      </c>
      <c r="B228" s="1011" t="s">
        <v>2259</v>
      </c>
      <c r="C228" s="1011" t="s">
        <v>2260</v>
      </c>
      <c r="D228" s="1011" t="s">
        <v>1804</v>
      </c>
      <c r="E228" s="1011" t="s">
        <v>1588</v>
      </c>
      <c r="F228" s="1011" t="s">
        <v>1805</v>
      </c>
    </row>
    <row r="229" spans="1:6" x14ac:dyDescent="0.25">
      <c r="A229" s="1011">
        <v>94125945</v>
      </c>
      <c r="B229" s="1011" t="s">
        <v>2261</v>
      </c>
      <c r="C229" s="1011" t="s">
        <v>2262</v>
      </c>
      <c r="D229" s="1011" t="s">
        <v>1596</v>
      </c>
      <c r="E229" s="1011" t="s">
        <v>1593</v>
      </c>
      <c r="F229" s="1011" t="s">
        <v>1351</v>
      </c>
    </row>
    <row r="230" spans="1:6" x14ac:dyDescent="0.25">
      <c r="A230" s="1011">
        <v>44125813</v>
      </c>
      <c r="B230" s="1011" t="s">
        <v>2263</v>
      </c>
      <c r="C230" s="1011" t="s">
        <v>2264</v>
      </c>
      <c r="D230" s="1011" t="s">
        <v>2228</v>
      </c>
      <c r="E230" s="1011" t="s">
        <v>1588</v>
      </c>
      <c r="F230" s="1011" t="s">
        <v>2229</v>
      </c>
    </row>
    <row r="231" spans="1:6" x14ac:dyDescent="0.25">
      <c r="A231" s="1011">
        <v>24124745</v>
      </c>
      <c r="B231" s="1011" t="s">
        <v>2265</v>
      </c>
      <c r="C231" s="1011" t="s">
        <v>2266</v>
      </c>
      <c r="D231" s="1011" t="s">
        <v>2267</v>
      </c>
      <c r="E231" s="1011" t="s">
        <v>1583</v>
      </c>
      <c r="F231" s="1011" t="s">
        <v>2268</v>
      </c>
    </row>
    <row r="232" spans="1:6" x14ac:dyDescent="0.25">
      <c r="A232" s="1011">
        <v>54124557</v>
      </c>
      <c r="B232" s="1011" t="s">
        <v>2269</v>
      </c>
      <c r="C232" s="1011" t="s">
        <v>2270</v>
      </c>
      <c r="D232" s="1011" t="s">
        <v>2271</v>
      </c>
      <c r="E232" s="1011" t="s">
        <v>1583</v>
      </c>
      <c r="F232" s="1011" t="s">
        <v>2272</v>
      </c>
    </row>
    <row r="233" spans="1:6" x14ac:dyDescent="0.25">
      <c r="A233" s="1011">
        <v>24124786</v>
      </c>
      <c r="B233" s="1011" t="s">
        <v>2273</v>
      </c>
      <c r="C233" s="1011" t="s">
        <v>2274</v>
      </c>
      <c r="D233" s="1011" t="s">
        <v>2275</v>
      </c>
      <c r="E233" s="1011" t="s">
        <v>1593</v>
      </c>
      <c r="F233" s="1011" t="s">
        <v>2276</v>
      </c>
    </row>
    <row r="234" spans="1:6" x14ac:dyDescent="0.25">
      <c r="A234" s="1011">
        <v>74124793</v>
      </c>
      <c r="B234" s="1011" t="s">
        <v>2277</v>
      </c>
      <c r="C234" s="1011" t="s">
        <v>2278</v>
      </c>
      <c r="D234" s="1011" t="s">
        <v>2279</v>
      </c>
      <c r="E234" s="1011" t="s">
        <v>1583</v>
      </c>
      <c r="F234" s="1011" t="s">
        <v>2280</v>
      </c>
    </row>
    <row r="235" spans="1:6" x14ac:dyDescent="0.25">
      <c r="A235" s="1011">
        <v>64125255</v>
      </c>
      <c r="B235" s="1011" t="s">
        <v>2281</v>
      </c>
      <c r="C235" s="1011" t="s">
        <v>2282</v>
      </c>
      <c r="D235" s="1011" t="s">
        <v>2041</v>
      </c>
      <c r="E235" s="1011" t="s">
        <v>1588</v>
      </c>
      <c r="F235" s="1011" t="s">
        <v>2042</v>
      </c>
    </row>
    <row r="236" spans="1:6" x14ac:dyDescent="0.25">
      <c r="A236" s="1011">
        <v>44224665</v>
      </c>
      <c r="B236" s="1011" t="s">
        <v>2283</v>
      </c>
      <c r="C236" s="1011" t="s">
        <v>2284</v>
      </c>
      <c r="D236" s="1011" t="s">
        <v>1127</v>
      </c>
      <c r="E236" s="1011" t="s">
        <v>1593</v>
      </c>
      <c r="F236" s="1011" t="s">
        <v>1383</v>
      </c>
    </row>
    <row r="237" spans="1:6" x14ac:dyDescent="0.25">
      <c r="A237" s="1011">
        <v>44124790</v>
      </c>
      <c r="B237" s="1011" t="s">
        <v>2285</v>
      </c>
      <c r="C237" s="1011" t="s">
        <v>2286</v>
      </c>
      <c r="D237" s="1011" t="s">
        <v>2287</v>
      </c>
      <c r="E237" s="1011" t="s">
        <v>1583</v>
      </c>
      <c r="F237" s="1011" t="s">
        <v>2288</v>
      </c>
    </row>
    <row r="238" spans="1:6" x14ac:dyDescent="0.25">
      <c r="A238" s="1011">
        <v>33819889</v>
      </c>
      <c r="B238" s="1011" t="s">
        <v>2289</v>
      </c>
      <c r="C238" s="1011" t="s">
        <v>2290</v>
      </c>
      <c r="D238" s="1011" t="s">
        <v>1892</v>
      </c>
      <c r="E238" s="1011" t="s">
        <v>1583</v>
      </c>
      <c r="F238" s="1011" t="s">
        <v>1371</v>
      </c>
    </row>
    <row r="239" spans="1:6" x14ac:dyDescent="0.25">
      <c r="A239" s="1011">
        <v>44123891</v>
      </c>
      <c r="B239" s="1011" t="s">
        <v>2291</v>
      </c>
      <c r="C239" s="1011" t="s">
        <v>2292</v>
      </c>
      <c r="D239" s="1011" t="s">
        <v>1815</v>
      </c>
      <c r="E239" s="1011" t="s">
        <v>1593</v>
      </c>
      <c r="F239" s="1011" t="s">
        <v>1816</v>
      </c>
    </row>
    <row r="240" spans="1:6" x14ac:dyDescent="0.25">
      <c r="A240" s="1011">
        <v>34237776</v>
      </c>
      <c r="B240" s="1011" t="s">
        <v>2293</v>
      </c>
      <c r="C240" s="1011" t="s">
        <v>2294</v>
      </c>
      <c r="D240" s="1011" t="s">
        <v>2295</v>
      </c>
      <c r="E240" s="1011" t="s">
        <v>1612</v>
      </c>
      <c r="F240" s="1011" t="s">
        <v>2296</v>
      </c>
    </row>
    <row r="241" spans="1:6" x14ac:dyDescent="0.25">
      <c r="A241" s="1011">
        <v>4124814</v>
      </c>
      <c r="B241" s="1011" t="s">
        <v>2297</v>
      </c>
      <c r="C241" s="1011" t="s">
        <v>2298</v>
      </c>
      <c r="D241" s="1011" t="s">
        <v>2299</v>
      </c>
      <c r="E241" s="1011" t="s">
        <v>1583</v>
      </c>
      <c r="F241" s="1011" t="s">
        <v>1345</v>
      </c>
    </row>
    <row r="242" spans="1:6" x14ac:dyDescent="0.25">
      <c r="A242" s="1011">
        <v>14237465</v>
      </c>
      <c r="B242" s="1011" t="s">
        <v>2300</v>
      </c>
      <c r="C242" s="1011" t="s">
        <v>2301</v>
      </c>
      <c r="D242" s="1011" t="s">
        <v>2302</v>
      </c>
      <c r="E242" s="1011" t="s">
        <v>1588</v>
      </c>
      <c r="F242" s="1011" t="s">
        <v>1355</v>
      </c>
    </row>
    <row r="243" spans="1:6" x14ac:dyDescent="0.25">
      <c r="A243" s="1011">
        <v>54126040</v>
      </c>
      <c r="B243" s="1011" t="s">
        <v>2303</v>
      </c>
      <c r="C243" s="1011" t="s">
        <v>2304</v>
      </c>
      <c r="D243" s="1011" t="s">
        <v>1804</v>
      </c>
      <c r="E243" s="1011" t="s">
        <v>1588</v>
      </c>
      <c r="F243" s="1011" t="s">
        <v>1805</v>
      </c>
    </row>
    <row r="244" spans="1:6" x14ac:dyDescent="0.25">
      <c r="A244" s="1011">
        <v>84123546</v>
      </c>
      <c r="B244" s="1011" t="s">
        <v>2305</v>
      </c>
      <c r="C244" s="1011" t="s">
        <v>2306</v>
      </c>
      <c r="D244" s="1011" t="s">
        <v>1127</v>
      </c>
      <c r="E244" s="1011" t="s">
        <v>1593</v>
      </c>
      <c r="F244" s="1011" t="s">
        <v>1445</v>
      </c>
    </row>
    <row r="245" spans="1:6" x14ac:dyDescent="0.25">
      <c r="A245" s="1011">
        <v>84125608</v>
      </c>
      <c r="B245" s="1011" t="s">
        <v>2307</v>
      </c>
      <c r="C245" s="1011" t="s">
        <v>2308</v>
      </c>
      <c r="D245" s="1011" t="s">
        <v>2309</v>
      </c>
      <c r="E245" s="1011" t="s">
        <v>1588</v>
      </c>
      <c r="F245" s="1011" t="s">
        <v>2310</v>
      </c>
    </row>
    <row r="246" spans="1:6" x14ac:dyDescent="0.25">
      <c r="A246" s="1011">
        <v>54125745</v>
      </c>
      <c r="B246" s="1011" t="s">
        <v>2311</v>
      </c>
      <c r="C246" s="1011" t="s">
        <v>2312</v>
      </c>
      <c r="D246" s="1011" t="s">
        <v>2313</v>
      </c>
      <c r="E246" s="1011" t="s">
        <v>1588</v>
      </c>
      <c r="F246" s="1011" t="s">
        <v>1347</v>
      </c>
    </row>
    <row r="247" spans="1:6" x14ac:dyDescent="0.25">
      <c r="A247" s="1011">
        <v>84163823</v>
      </c>
      <c r="B247" s="1011" t="s">
        <v>2314</v>
      </c>
      <c r="C247" s="1011" t="s">
        <v>2315</v>
      </c>
      <c r="D247" s="1011" t="s">
        <v>2316</v>
      </c>
      <c r="E247" s="1011" t="s">
        <v>1588</v>
      </c>
      <c r="F247" s="1011" t="s">
        <v>1441</v>
      </c>
    </row>
    <row r="248" spans="1:6" x14ac:dyDescent="0.25">
      <c r="A248" s="1011">
        <v>14125710</v>
      </c>
      <c r="B248" s="1011" t="s">
        <v>2317</v>
      </c>
      <c r="C248" s="1011" t="s">
        <v>2318</v>
      </c>
      <c r="D248" s="1011" t="s">
        <v>1648</v>
      </c>
      <c r="E248" s="1011" t="s">
        <v>1588</v>
      </c>
      <c r="F248" s="1011" t="s">
        <v>1649</v>
      </c>
    </row>
    <row r="249" spans="1:6" x14ac:dyDescent="0.25">
      <c r="A249" s="1011">
        <v>64124712</v>
      </c>
      <c r="B249" s="1011" t="s">
        <v>2319</v>
      </c>
      <c r="C249" s="1011" t="s">
        <v>2320</v>
      </c>
      <c r="D249" s="1011" t="s">
        <v>2279</v>
      </c>
      <c r="E249" s="1011" t="s">
        <v>1583</v>
      </c>
      <c r="F249" s="1011" t="s">
        <v>2280</v>
      </c>
    </row>
    <row r="250" spans="1:6" x14ac:dyDescent="0.25">
      <c r="A250" s="1011">
        <v>14125611</v>
      </c>
      <c r="B250" s="1011" t="s">
        <v>2321</v>
      </c>
      <c r="C250" s="1011" t="s">
        <v>2322</v>
      </c>
      <c r="D250" s="1011" t="s">
        <v>1909</v>
      </c>
      <c r="E250" s="1011" t="s">
        <v>1588</v>
      </c>
      <c r="F250" s="1011" t="s">
        <v>1910</v>
      </c>
    </row>
    <row r="251" spans="1:6" x14ac:dyDescent="0.25">
      <c r="A251" s="1011">
        <v>64124233</v>
      </c>
      <c r="B251" s="1011" t="s">
        <v>2323</v>
      </c>
      <c r="C251" s="1011" t="s">
        <v>2324</v>
      </c>
      <c r="D251" s="1011" t="s">
        <v>1599</v>
      </c>
      <c r="E251" s="1011" t="s">
        <v>1593</v>
      </c>
      <c r="F251" s="1011" t="s">
        <v>1377</v>
      </c>
    </row>
    <row r="252" spans="1:6" x14ac:dyDescent="0.25">
      <c r="A252" s="1011">
        <v>44125235</v>
      </c>
      <c r="B252" s="1011" t="s">
        <v>2325</v>
      </c>
      <c r="C252" s="1011" t="s">
        <v>2326</v>
      </c>
      <c r="D252" s="1011" t="s">
        <v>1125</v>
      </c>
      <c r="E252" s="1011" t="s">
        <v>1588</v>
      </c>
      <c r="F252" s="1011" t="s">
        <v>1619</v>
      </c>
    </row>
    <row r="253" spans="1:6" x14ac:dyDescent="0.25">
      <c r="A253" s="1011">
        <v>24124604</v>
      </c>
      <c r="B253" s="1011" t="s">
        <v>2327</v>
      </c>
      <c r="C253" s="1011" t="s">
        <v>2328</v>
      </c>
      <c r="D253" s="1011" t="s">
        <v>2329</v>
      </c>
      <c r="E253" s="1011" t="s">
        <v>1583</v>
      </c>
      <c r="F253" s="1011" t="s">
        <v>1423</v>
      </c>
    </row>
    <row r="254" spans="1:6" x14ac:dyDescent="0.25">
      <c r="A254" s="1011">
        <v>84239367</v>
      </c>
      <c r="B254" s="1011" t="s">
        <v>2330</v>
      </c>
      <c r="C254" s="1011" t="s">
        <v>2331</v>
      </c>
      <c r="D254" s="1011" t="s">
        <v>2332</v>
      </c>
      <c r="E254" s="1011" t="s">
        <v>1583</v>
      </c>
      <c r="F254" s="1011" t="s">
        <v>2333</v>
      </c>
    </row>
    <row r="255" spans="1:6" x14ac:dyDescent="0.25">
      <c r="A255" s="1011">
        <v>64124316</v>
      </c>
      <c r="B255" s="1011" t="s">
        <v>2334</v>
      </c>
      <c r="C255" s="1011" t="s">
        <v>2335</v>
      </c>
      <c r="D255" s="1011" t="s">
        <v>1756</v>
      </c>
      <c r="E255" s="1011" t="s">
        <v>1593</v>
      </c>
      <c r="F255" s="1011" t="s">
        <v>1429</v>
      </c>
    </row>
    <row r="256" spans="1:6" x14ac:dyDescent="0.25">
      <c r="A256" s="1011">
        <v>84125012</v>
      </c>
      <c r="B256" s="1011" t="s">
        <v>2336</v>
      </c>
      <c r="C256" s="1011" t="s">
        <v>2337</v>
      </c>
      <c r="D256" s="1011" t="s">
        <v>1892</v>
      </c>
      <c r="E256" s="1011" t="s">
        <v>1583</v>
      </c>
      <c r="F256" s="1011" t="s">
        <v>1371</v>
      </c>
    </row>
    <row r="257" spans="1:6" x14ac:dyDescent="0.25">
      <c r="A257" s="1011">
        <v>64125651</v>
      </c>
      <c r="B257" s="1011" t="s">
        <v>2338</v>
      </c>
      <c r="C257" s="1011" t="s">
        <v>2339</v>
      </c>
      <c r="D257" s="1011" t="s">
        <v>1125</v>
      </c>
      <c r="E257" s="1011" t="s">
        <v>1588</v>
      </c>
      <c r="F257" s="1011" t="s">
        <v>1682</v>
      </c>
    </row>
    <row r="258" spans="1:6" x14ac:dyDescent="0.25">
      <c r="A258" s="1011">
        <v>94125739</v>
      </c>
      <c r="B258" s="1011" t="s">
        <v>2340</v>
      </c>
      <c r="C258" s="1011" t="s">
        <v>2341</v>
      </c>
      <c r="D258" s="1011" t="s">
        <v>1721</v>
      </c>
      <c r="E258" s="1011" t="s">
        <v>1588</v>
      </c>
      <c r="F258" s="1011" t="s">
        <v>1722</v>
      </c>
    </row>
    <row r="259" spans="1:6" x14ac:dyDescent="0.25">
      <c r="A259" s="1011">
        <v>14123392</v>
      </c>
      <c r="B259" s="1011" t="s">
        <v>2342</v>
      </c>
      <c r="C259" s="1011" t="s">
        <v>2343</v>
      </c>
      <c r="D259" s="1011" t="s">
        <v>1728</v>
      </c>
      <c r="E259" s="1011" t="s">
        <v>1593</v>
      </c>
      <c r="F259" s="1011" t="s">
        <v>1729</v>
      </c>
    </row>
    <row r="260" spans="1:6" x14ac:dyDescent="0.25">
      <c r="A260" s="1011">
        <v>4125886</v>
      </c>
      <c r="B260" s="1011" t="s">
        <v>2344</v>
      </c>
      <c r="C260" s="1011" t="s">
        <v>2345</v>
      </c>
      <c r="D260" s="1011" t="s">
        <v>2346</v>
      </c>
      <c r="E260" s="1011" t="s">
        <v>1588</v>
      </c>
      <c r="F260" s="1011" t="s">
        <v>2347</v>
      </c>
    </row>
    <row r="261" spans="1:6" x14ac:dyDescent="0.25">
      <c r="A261" s="1011">
        <v>54181573</v>
      </c>
      <c r="B261" s="1011" t="s">
        <v>2348</v>
      </c>
      <c r="C261" s="1011" t="s">
        <v>2349</v>
      </c>
      <c r="D261" s="1011" t="s">
        <v>1815</v>
      </c>
      <c r="E261" s="1011" t="s">
        <v>1593</v>
      </c>
      <c r="F261" s="1011" t="s">
        <v>1816</v>
      </c>
    </row>
    <row r="262" spans="1:6" x14ac:dyDescent="0.25">
      <c r="A262" s="1011">
        <v>54123831</v>
      </c>
      <c r="B262" s="1011" t="s">
        <v>2350</v>
      </c>
      <c r="C262" s="1011" t="s">
        <v>2351</v>
      </c>
      <c r="D262" s="1011" t="s">
        <v>1127</v>
      </c>
      <c r="E262" s="1011" t="s">
        <v>1593</v>
      </c>
      <c r="F262" s="1011" t="s">
        <v>1383</v>
      </c>
    </row>
    <row r="263" spans="1:6" x14ac:dyDescent="0.25">
      <c r="A263" s="1011">
        <v>44125748</v>
      </c>
      <c r="B263" s="1011" t="s">
        <v>2352</v>
      </c>
      <c r="C263" s="1011" t="s">
        <v>2353</v>
      </c>
      <c r="D263" s="1011" t="s">
        <v>2178</v>
      </c>
      <c r="E263" s="1011" t="s">
        <v>1588</v>
      </c>
      <c r="F263" s="1011" t="s">
        <v>2179</v>
      </c>
    </row>
    <row r="264" spans="1:6" x14ac:dyDescent="0.25">
      <c r="A264" s="1011">
        <v>54147632</v>
      </c>
      <c r="B264" s="1011" t="s">
        <v>2354</v>
      </c>
      <c r="C264" s="1011" t="s">
        <v>2355</v>
      </c>
      <c r="D264" s="1011" t="s">
        <v>2356</v>
      </c>
      <c r="E264" s="1011" t="s">
        <v>1583</v>
      </c>
      <c r="F264" s="1011" t="s">
        <v>2357</v>
      </c>
    </row>
    <row r="265" spans="1:6" x14ac:dyDescent="0.25">
      <c r="A265" s="1011">
        <v>84126176</v>
      </c>
      <c r="B265" s="1011" t="s">
        <v>2358</v>
      </c>
      <c r="C265" s="1011" t="s">
        <v>2359</v>
      </c>
      <c r="D265" s="1011" t="s">
        <v>1644</v>
      </c>
      <c r="E265" s="1011" t="s">
        <v>1588</v>
      </c>
      <c r="F265" s="1011" t="s">
        <v>1645</v>
      </c>
    </row>
    <row r="266" spans="1:6" x14ac:dyDescent="0.25">
      <c r="A266" s="1011">
        <v>44251130</v>
      </c>
      <c r="B266" s="1011" t="s">
        <v>2360</v>
      </c>
      <c r="C266" s="1011" t="s">
        <v>2361</v>
      </c>
      <c r="D266" s="1011" t="s">
        <v>2362</v>
      </c>
      <c r="E266" s="1011" t="s">
        <v>1583</v>
      </c>
      <c r="F266" s="1011" t="s">
        <v>1453</v>
      </c>
    </row>
    <row r="267" spans="1:6" x14ac:dyDescent="0.25">
      <c r="A267" s="1011">
        <v>14126072</v>
      </c>
      <c r="B267" s="1011" t="s">
        <v>2363</v>
      </c>
      <c r="C267" s="1011" t="s">
        <v>2364</v>
      </c>
      <c r="D267" s="1011" t="s">
        <v>2365</v>
      </c>
      <c r="E267" s="1011" t="s">
        <v>1588</v>
      </c>
      <c r="F267" s="1011" t="s">
        <v>2366</v>
      </c>
    </row>
    <row r="268" spans="1:6" x14ac:dyDescent="0.25">
      <c r="A268" s="1011">
        <v>14125249</v>
      </c>
      <c r="B268" s="1011" t="s">
        <v>2367</v>
      </c>
      <c r="C268" s="1011" t="s">
        <v>2368</v>
      </c>
      <c r="D268" s="1011" t="s">
        <v>2369</v>
      </c>
      <c r="E268" s="1011" t="s">
        <v>1612</v>
      </c>
      <c r="F268" s="1011" t="s">
        <v>2370</v>
      </c>
    </row>
    <row r="269" spans="1:6" x14ac:dyDescent="0.25">
      <c r="A269" s="1011">
        <v>14124291</v>
      </c>
      <c r="B269" s="1011" t="s">
        <v>2371</v>
      </c>
      <c r="C269" s="1011" t="s">
        <v>2372</v>
      </c>
      <c r="D269" s="1011" t="s">
        <v>2373</v>
      </c>
      <c r="E269" s="1011" t="s">
        <v>1583</v>
      </c>
      <c r="F269" s="1011" t="s">
        <v>1391</v>
      </c>
    </row>
    <row r="270" spans="1:6" x14ac:dyDescent="0.25">
      <c r="A270" s="1011">
        <v>44125730</v>
      </c>
      <c r="B270" s="1011" t="s">
        <v>2374</v>
      </c>
      <c r="C270" s="1011" t="s">
        <v>2375</v>
      </c>
      <c r="D270" s="1011" t="s">
        <v>2376</v>
      </c>
      <c r="E270" s="1011" t="s">
        <v>1588</v>
      </c>
      <c r="F270" s="1011" t="s">
        <v>2377</v>
      </c>
    </row>
    <row r="271" spans="1:6" x14ac:dyDescent="0.25">
      <c r="A271" s="1011">
        <v>44124048</v>
      </c>
      <c r="B271" s="1011" t="s">
        <v>2378</v>
      </c>
      <c r="C271" s="1011" t="s">
        <v>2379</v>
      </c>
      <c r="D271" s="1011" t="s">
        <v>2380</v>
      </c>
      <c r="E271" s="1011" t="s">
        <v>1593</v>
      </c>
      <c r="F271" s="1011" t="s">
        <v>2381</v>
      </c>
    </row>
    <row r="272" spans="1:6" x14ac:dyDescent="0.25">
      <c r="A272" s="1011">
        <v>84123900</v>
      </c>
      <c r="B272" s="1011" t="s">
        <v>2382</v>
      </c>
      <c r="C272" s="1011" t="s">
        <v>2383</v>
      </c>
      <c r="D272" s="1011" t="s">
        <v>1728</v>
      </c>
      <c r="E272" s="1011" t="s">
        <v>1593</v>
      </c>
      <c r="F272" s="1011" t="s">
        <v>1729</v>
      </c>
    </row>
    <row r="273" spans="1:6" x14ac:dyDescent="0.25">
      <c r="A273" s="1011">
        <v>64124837</v>
      </c>
      <c r="B273" s="1011" t="s">
        <v>2384</v>
      </c>
      <c r="C273" s="1011" t="s">
        <v>2385</v>
      </c>
      <c r="D273" s="1011" t="s">
        <v>1959</v>
      </c>
      <c r="E273" s="1011" t="s">
        <v>1583</v>
      </c>
      <c r="F273" s="1011" t="s">
        <v>1960</v>
      </c>
    </row>
    <row r="274" spans="1:6" x14ac:dyDescent="0.25">
      <c r="A274" s="1011">
        <v>4124038</v>
      </c>
      <c r="B274" s="1011" t="s">
        <v>2386</v>
      </c>
      <c r="C274" s="1011" t="s">
        <v>2387</v>
      </c>
      <c r="D274" s="1011" t="s">
        <v>2101</v>
      </c>
      <c r="E274" s="1011" t="s">
        <v>1593</v>
      </c>
      <c r="F274" s="1011" t="s">
        <v>2102</v>
      </c>
    </row>
    <row r="275" spans="1:6" x14ac:dyDescent="0.25">
      <c r="A275" s="1011">
        <v>64124464</v>
      </c>
      <c r="B275" s="1011" t="s">
        <v>2388</v>
      </c>
      <c r="C275" s="1011" t="s">
        <v>2389</v>
      </c>
      <c r="D275" s="1011" t="s">
        <v>2390</v>
      </c>
      <c r="E275" s="1011" t="s">
        <v>1583</v>
      </c>
      <c r="F275" s="1011" t="s">
        <v>2391</v>
      </c>
    </row>
    <row r="276" spans="1:6" x14ac:dyDescent="0.25">
      <c r="A276" s="1011">
        <v>84258102</v>
      </c>
      <c r="B276" s="1011" t="s">
        <v>2392</v>
      </c>
      <c r="C276" s="1011" t="s">
        <v>2393</v>
      </c>
      <c r="D276" s="1011" t="s">
        <v>2394</v>
      </c>
      <c r="E276" s="1011" t="s">
        <v>1588</v>
      </c>
      <c r="F276" s="1011" t="s">
        <v>2395</v>
      </c>
    </row>
    <row r="277" spans="1:6" x14ac:dyDescent="0.25">
      <c r="A277" s="1011">
        <v>94123965</v>
      </c>
      <c r="B277" s="1011" t="s">
        <v>2396</v>
      </c>
      <c r="C277" s="1011" t="s">
        <v>2397</v>
      </c>
      <c r="D277" s="1011" t="s">
        <v>2398</v>
      </c>
      <c r="E277" s="1011" t="s">
        <v>1593</v>
      </c>
      <c r="F277" s="1011" t="s">
        <v>2399</v>
      </c>
    </row>
    <row r="278" spans="1:6" x14ac:dyDescent="0.25">
      <c r="A278" s="1011">
        <v>74125261</v>
      </c>
      <c r="B278" s="1011" t="s">
        <v>2400</v>
      </c>
      <c r="C278" s="1011" t="s">
        <v>2401</v>
      </c>
      <c r="D278" s="1011" t="s">
        <v>1776</v>
      </c>
      <c r="E278" s="1011" t="s">
        <v>1612</v>
      </c>
      <c r="F278" s="1011" t="s">
        <v>1777</v>
      </c>
    </row>
    <row r="279" spans="1:6" x14ac:dyDescent="0.25">
      <c r="A279" s="1011">
        <v>94167871</v>
      </c>
      <c r="B279" s="1011" t="s">
        <v>2402</v>
      </c>
      <c r="C279" s="1011" t="s">
        <v>2403</v>
      </c>
      <c r="D279" s="1011" t="s">
        <v>2404</v>
      </c>
      <c r="E279" s="1011" t="s">
        <v>1583</v>
      </c>
      <c r="F279" s="1011" t="s">
        <v>1381</v>
      </c>
    </row>
    <row r="280" spans="1:6" x14ac:dyDescent="0.25">
      <c r="A280" s="1011">
        <v>74124025</v>
      </c>
      <c r="B280" s="1011" t="s">
        <v>2405</v>
      </c>
      <c r="C280" s="1011" t="s">
        <v>2406</v>
      </c>
      <c r="D280" s="1011" t="s">
        <v>2407</v>
      </c>
      <c r="E280" s="1011" t="s">
        <v>1593</v>
      </c>
      <c r="F280" s="1011" t="s">
        <v>2408</v>
      </c>
    </row>
    <row r="281" spans="1:6" x14ac:dyDescent="0.25">
      <c r="A281" s="1011">
        <v>24124638</v>
      </c>
      <c r="B281" s="1011" t="s">
        <v>2409</v>
      </c>
      <c r="C281" s="1011" t="s">
        <v>2410</v>
      </c>
      <c r="D281" s="1011" t="s">
        <v>1127</v>
      </c>
      <c r="E281" s="1011" t="s">
        <v>1593</v>
      </c>
      <c r="F281" s="1011" t="s">
        <v>1341</v>
      </c>
    </row>
    <row r="282" spans="1:6" x14ac:dyDescent="0.25">
      <c r="A282" s="1011">
        <v>14125678</v>
      </c>
      <c r="B282" s="1011" t="s">
        <v>2411</v>
      </c>
      <c r="C282" s="1011" t="s">
        <v>2412</v>
      </c>
      <c r="D282" s="1011" t="s">
        <v>2413</v>
      </c>
      <c r="E282" s="1011" t="s">
        <v>1612</v>
      </c>
      <c r="F282" s="1011" t="s">
        <v>2414</v>
      </c>
    </row>
    <row r="283" spans="1:6" x14ac:dyDescent="0.25">
      <c r="A283" s="1011">
        <v>54182548</v>
      </c>
      <c r="B283" s="1011" t="s">
        <v>2415</v>
      </c>
      <c r="C283" s="1011" t="s">
        <v>2416</v>
      </c>
      <c r="D283" s="1011" t="s">
        <v>1792</v>
      </c>
      <c r="E283" s="1011" t="s">
        <v>1588</v>
      </c>
      <c r="F283" s="1011" t="s">
        <v>1793</v>
      </c>
    </row>
    <row r="284" spans="1:6" x14ac:dyDescent="0.25">
      <c r="A284" s="1011">
        <v>44125797</v>
      </c>
      <c r="B284" s="1011" t="s">
        <v>2417</v>
      </c>
      <c r="C284" s="1011" t="s">
        <v>2418</v>
      </c>
      <c r="D284" s="1011" t="s">
        <v>2153</v>
      </c>
      <c r="E284" s="1011" t="s">
        <v>1588</v>
      </c>
      <c r="F284" s="1011" t="s">
        <v>1399</v>
      </c>
    </row>
    <row r="285" spans="1:6" x14ac:dyDescent="0.25">
      <c r="A285" s="1011">
        <v>64242498</v>
      </c>
      <c r="B285" s="1011" t="s">
        <v>2419</v>
      </c>
      <c r="C285" s="1011" t="s">
        <v>2420</v>
      </c>
      <c r="D285" s="1011" t="s">
        <v>2313</v>
      </c>
      <c r="E285" s="1011" t="s">
        <v>1588</v>
      </c>
      <c r="F285" s="1011" t="s">
        <v>1347</v>
      </c>
    </row>
    <row r="286" spans="1:6" x14ac:dyDescent="0.25">
      <c r="A286" s="1011">
        <v>34124842</v>
      </c>
      <c r="B286" s="1011" t="s">
        <v>2421</v>
      </c>
      <c r="C286" s="1011" t="s">
        <v>2422</v>
      </c>
      <c r="D286" s="1011" t="s">
        <v>2423</v>
      </c>
      <c r="E286" s="1011" t="s">
        <v>1583</v>
      </c>
      <c r="F286" s="1011" t="s">
        <v>2424</v>
      </c>
    </row>
    <row r="287" spans="1:6" x14ac:dyDescent="0.25">
      <c r="A287" s="1011">
        <v>74123910</v>
      </c>
      <c r="B287" s="1011" t="s">
        <v>2425</v>
      </c>
      <c r="C287" s="1011" t="s">
        <v>2426</v>
      </c>
      <c r="D287" s="1011" t="s">
        <v>1127</v>
      </c>
      <c r="E287" s="1011" t="s">
        <v>1593</v>
      </c>
      <c r="F287" s="1011" t="s">
        <v>1445</v>
      </c>
    </row>
    <row r="288" spans="1:6" x14ac:dyDescent="0.25">
      <c r="A288" s="1011">
        <v>64125701</v>
      </c>
      <c r="B288" s="1011" t="s">
        <v>2427</v>
      </c>
      <c r="C288" s="1011" t="s">
        <v>2428</v>
      </c>
      <c r="D288" s="1011" t="s">
        <v>2376</v>
      </c>
      <c r="E288" s="1011" t="s">
        <v>1588</v>
      </c>
      <c r="F288" s="1011" t="s">
        <v>2377</v>
      </c>
    </row>
    <row r="289" spans="1:6" x14ac:dyDescent="0.25">
      <c r="A289" s="1011">
        <v>64176068</v>
      </c>
      <c r="B289" s="1011" t="s">
        <v>2429</v>
      </c>
      <c r="C289" s="1011" t="s">
        <v>2430</v>
      </c>
      <c r="D289" s="1011" t="s">
        <v>1637</v>
      </c>
      <c r="E289" s="1011" t="s">
        <v>1593</v>
      </c>
      <c r="F289" s="1011" t="s">
        <v>1638</v>
      </c>
    </row>
    <row r="290" spans="1:6" x14ac:dyDescent="0.25">
      <c r="A290" s="1011">
        <v>94123650</v>
      </c>
      <c r="B290" s="1011" t="s">
        <v>2431</v>
      </c>
      <c r="C290" s="1011" t="s">
        <v>2432</v>
      </c>
      <c r="D290" s="1011" t="s">
        <v>2433</v>
      </c>
      <c r="E290" s="1011" t="s">
        <v>1593</v>
      </c>
      <c r="F290" s="1011" t="s">
        <v>2434</v>
      </c>
    </row>
    <row r="291" spans="1:6" x14ac:dyDescent="0.25">
      <c r="A291" s="1011">
        <v>74125840</v>
      </c>
      <c r="B291" s="1011" t="s">
        <v>2435</v>
      </c>
      <c r="C291" s="1011" t="s">
        <v>2436</v>
      </c>
      <c r="D291" s="1011" t="s">
        <v>1125</v>
      </c>
      <c r="E291" s="1011" t="s">
        <v>1588</v>
      </c>
      <c r="F291" s="1011" t="s">
        <v>1770</v>
      </c>
    </row>
    <row r="292" spans="1:6" x14ac:dyDescent="0.25">
      <c r="A292" s="1011">
        <v>74124322</v>
      </c>
      <c r="B292" s="1011" t="s">
        <v>2437</v>
      </c>
      <c r="C292" s="1011" t="s">
        <v>2438</v>
      </c>
      <c r="D292" s="1011" t="s">
        <v>2439</v>
      </c>
      <c r="E292" s="1011" t="s">
        <v>1583</v>
      </c>
      <c r="F292" s="1011" t="s">
        <v>2440</v>
      </c>
    </row>
    <row r="293" spans="1:6" x14ac:dyDescent="0.25">
      <c r="A293" s="1011">
        <v>64125834</v>
      </c>
      <c r="B293" s="1011" t="s">
        <v>2441</v>
      </c>
      <c r="C293" s="1011" t="s">
        <v>2442</v>
      </c>
      <c r="D293" s="1011" t="s">
        <v>72</v>
      </c>
      <c r="E293" s="1011" t="s">
        <v>1612</v>
      </c>
      <c r="F293" s="1011" t="s">
        <v>1714</v>
      </c>
    </row>
    <row r="294" spans="1:6" x14ac:dyDescent="0.25">
      <c r="A294" s="1011">
        <v>64124621</v>
      </c>
      <c r="B294" s="1011" t="s">
        <v>2443</v>
      </c>
      <c r="C294" s="1011" t="s">
        <v>2444</v>
      </c>
      <c r="D294" s="1011" t="s">
        <v>2445</v>
      </c>
      <c r="E294" s="1011" t="s">
        <v>1593</v>
      </c>
      <c r="F294" s="1011" t="s">
        <v>2446</v>
      </c>
    </row>
    <row r="295" spans="1:6" x14ac:dyDescent="0.25">
      <c r="A295" s="1011">
        <v>74125857</v>
      </c>
      <c r="B295" s="1011" t="s">
        <v>2447</v>
      </c>
      <c r="C295" s="1011" t="s">
        <v>2448</v>
      </c>
      <c r="D295" s="1011" t="s">
        <v>1125</v>
      </c>
      <c r="E295" s="1011" t="s">
        <v>1588</v>
      </c>
      <c r="F295" s="1011" t="s">
        <v>1616</v>
      </c>
    </row>
    <row r="296" spans="1:6" x14ac:dyDescent="0.25">
      <c r="A296" s="1011">
        <v>34125625</v>
      </c>
      <c r="B296" s="1011" t="s">
        <v>2449</v>
      </c>
      <c r="C296" s="1011" t="s">
        <v>2450</v>
      </c>
      <c r="D296" s="1011" t="s">
        <v>2394</v>
      </c>
      <c r="E296" s="1011" t="s">
        <v>1588</v>
      </c>
      <c r="F296" s="1011" t="s">
        <v>2395</v>
      </c>
    </row>
    <row r="297" spans="1:6" x14ac:dyDescent="0.25">
      <c r="A297" s="1011">
        <v>54125273</v>
      </c>
      <c r="B297" s="1011" t="s">
        <v>2451</v>
      </c>
      <c r="C297" s="1011" t="s">
        <v>2452</v>
      </c>
      <c r="D297" s="1011" t="s">
        <v>72</v>
      </c>
      <c r="E297" s="1011" t="s">
        <v>1612</v>
      </c>
      <c r="F297" s="1011" t="s">
        <v>1997</v>
      </c>
    </row>
    <row r="298" spans="1:6" x14ac:dyDescent="0.25">
      <c r="A298" s="1011">
        <v>4125944</v>
      </c>
      <c r="B298" s="1011" t="s">
        <v>2453</v>
      </c>
      <c r="C298" s="1011" t="s">
        <v>2454</v>
      </c>
      <c r="D298" s="1011" t="s">
        <v>1125</v>
      </c>
      <c r="E298" s="1011" t="s">
        <v>1588</v>
      </c>
      <c r="F298" s="1011" t="s">
        <v>1682</v>
      </c>
    </row>
    <row r="299" spans="1:6" x14ac:dyDescent="0.25">
      <c r="A299" s="1011">
        <v>4125274</v>
      </c>
      <c r="B299" s="1011" t="s">
        <v>2455</v>
      </c>
      <c r="C299" s="1011" t="s">
        <v>2456</v>
      </c>
      <c r="D299" s="1011" t="s">
        <v>1125</v>
      </c>
      <c r="E299" s="1011" t="s">
        <v>1588</v>
      </c>
      <c r="F299" s="1011" t="s">
        <v>1421</v>
      </c>
    </row>
    <row r="300" spans="1:6" x14ac:dyDescent="0.25">
      <c r="A300" s="1011">
        <v>94124237</v>
      </c>
      <c r="B300" s="1011" t="s">
        <v>2457</v>
      </c>
      <c r="C300" s="1011" t="s">
        <v>2458</v>
      </c>
      <c r="D300" s="1011" t="s">
        <v>1815</v>
      </c>
      <c r="E300" s="1011" t="s">
        <v>1593</v>
      </c>
      <c r="F300" s="1011" t="s">
        <v>1816</v>
      </c>
    </row>
    <row r="301" spans="1:6" x14ac:dyDescent="0.25">
      <c r="A301" s="1011">
        <v>4158572</v>
      </c>
      <c r="B301" s="1011" t="s">
        <v>2459</v>
      </c>
      <c r="C301" s="1011" t="s">
        <v>2460</v>
      </c>
      <c r="D301" s="1011" t="s">
        <v>1125</v>
      </c>
      <c r="E301" s="1011" t="s">
        <v>1588</v>
      </c>
      <c r="F301" s="1011" t="s">
        <v>1619</v>
      </c>
    </row>
    <row r="302" spans="1:6" x14ac:dyDescent="0.25">
      <c r="A302" s="1011">
        <v>94126174</v>
      </c>
      <c r="B302" s="1011" t="s">
        <v>2461</v>
      </c>
      <c r="C302" s="1011" t="s">
        <v>2462</v>
      </c>
      <c r="D302" s="1011" t="s">
        <v>2153</v>
      </c>
      <c r="E302" s="1011" t="s">
        <v>1588</v>
      </c>
      <c r="F302" s="1011" t="s">
        <v>1399</v>
      </c>
    </row>
    <row r="303" spans="1:6" x14ac:dyDescent="0.25">
      <c r="A303" s="1011">
        <v>94123924</v>
      </c>
      <c r="B303" s="1011" t="s">
        <v>2463</v>
      </c>
      <c r="C303" s="1011" t="s">
        <v>2464</v>
      </c>
      <c r="D303" s="1011" t="s">
        <v>2465</v>
      </c>
      <c r="E303" s="1011" t="s">
        <v>1593</v>
      </c>
      <c r="F303" s="1011" t="s">
        <v>2466</v>
      </c>
    </row>
    <row r="304" spans="1:6" x14ac:dyDescent="0.25">
      <c r="A304" s="1011">
        <v>74123977</v>
      </c>
      <c r="B304" s="1011" t="s">
        <v>2467</v>
      </c>
      <c r="C304" s="1011" t="s">
        <v>2468</v>
      </c>
      <c r="D304" s="1011" t="s">
        <v>2469</v>
      </c>
      <c r="E304" s="1011" t="s">
        <v>1593</v>
      </c>
      <c r="F304" s="1011" t="s">
        <v>2470</v>
      </c>
    </row>
    <row r="305" spans="1:6" x14ac:dyDescent="0.25">
      <c r="A305" s="1011">
        <v>4124913</v>
      </c>
      <c r="B305" s="1011" t="s">
        <v>2471</v>
      </c>
      <c r="C305" s="1011" t="s">
        <v>2472</v>
      </c>
      <c r="D305" s="1011" t="s">
        <v>1602</v>
      </c>
      <c r="E305" s="1011" t="s">
        <v>1583</v>
      </c>
      <c r="F305" s="1011" t="s">
        <v>1457</v>
      </c>
    </row>
    <row r="306" spans="1:6" x14ac:dyDescent="0.25">
      <c r="A306" s="1011">
        <v>74125196</v>
      </c>
      <c r="B306" s="1011" t="s">
        <v>2473</v>
      </c>
      <c r="C306" s="1011" t="s">
        <v>2474</v>
      </c>
      <c r="D306" s="1011" t="s">
        <v>2475</v>
      </c>
      <c r="E306" s="1011" t="s">
        <v>1583</v>
      </c>
      <c r="F306" s="1011" t="s">
        <v>2476</v>
      </c>
    </row>
    <row r="307" spans="1:6" x14ac:dyDescent="0.25">
      <c r="A307" s="1011">
        <v>54138474</v>
      </c>
      <c r="B307" s="1011" t="s">
        <v>2477</v>
      </c>
      <c r="C307" s="1011" t="s">
        <v>2478</v>
      </c>
      <c r="D307" s="1011" t="s">
        <v>2479</v>
      </c>
      <c r="E307" s="1011" t="s">
        <v>1583</v>
      </c>
      <c r="F307" s="1011" t="s">
        <v>2480</v>
      </c>
    </row>
    <row r="308" spans="1:6" x14ac:dyDescent="0.25">
      <c r="A308" s="1011">
        <v>4162228</v>
      </c>
      <c r="B308" s="1011" t="s">
        <v>2481</v>
      </c>
      <c r="C308" s="1011" t="s">
        <v>2482</v>
      </c>
      <c r="D308" s="1011" t="s">
        <v>1685</v>
      </c>
      <c r="E308" s="1011" t="s">
        <v>1593</v>
      </c>
      <c r="F308" s="1011" t="s">
        <v>1469</v>
      </c>
    </row>
    <row r="309" spans="1:6" x14ac:dyDescent="0.25">
      <c r="A309" s="1011">
        <v>54126164</v>
      </c>
      <c r="B309" s="1011" t="s">
        <v>2483</v>
      </c>
      <c r="C309" s="1011" t="s">
        <v>2484</v>
      </c>
      <c r="D309" s="1011" t="s">
        <v>1735</v>
      </c>
      <c r="E309" s="1011" t="s">
        <v>1588</v>
      </c>
      <c r="F309" s="1011" t="s">
        <v>1736</v>
      </c>
    </row>
    <row r="310" spans="1:6" x14ac:dyDescent="0.25">
      <c r="A310" s="1011">
        <v>24125973</v>
      </c>
      <c r="B310" s="1011" t="s">
        <v>2485</v>
      </c>
      <c r="C310" s="1011" t="s">
        <v>2486</v>
      </c>
      <c r="D310" s="1011" t="s">
        <v>2295</v>
      </c>
      <c r="E310" s="1011" t="s">
        <v>1612</v>
      </c>
      <c r="F310" s="1011" t="s">
        <v>2296</v>
      </c>
    </row>
    <row r="311" spans="1:6" x14ac:dyDescent="0.25">
      <c r="A311" s="1011">
        <v>14124440</v>
      </c>
      <c r="B311" s="1011" t="s">
        <v>2487</v>
      </c>
      <c r="C311" s="1011" t="s">
        <v>2488</v>
      </c>
      <c r="D311" s="1011" t="s">
        <v>2489</v>
      </c>
      <c r="E311" s="1011" t="s">
        <v>1593</v>
      </c>
      <c r="F311" s="1011" t="s">
        <v>2490</v>
      </c>
    </row>
    <row r="312" spans="1:6" x14ac:dyDescent="0.25">
      <c r="A312" s="1011">
        <v>84124593</v>
      </c>
      <c r="B312" s="1011" t="s">
        <v>2491</v>
      </c>
      <c r="C312" s="1011" t="s">
        <v>2492</v>
      </c>
      <c r="D312" s="1011" t="s">
        <v>1599</v>
      </c>
      <c r="E312" s="1011" t="s">
        <v>1593</v>
      </c>
      <c r="F312" s="1011" t="s">
        <v>1377</v>
      </c>
    </row>
    <row r="313" spans="1:6" x14ac:dyDescent="0.25">
      <c r="A313" s="1011">
        <v>54126032</v>
      </c>
      <c r="B313" s="1011" t="s">
        <v>2493</v>
      </c>
      <c r="C313" s="1011" t="s">
        <v>2494</v>
      </c>
      <c r="D313" s="1011" t="s">
        <v>1668</v>
      </c>
      <c r="E313" s="1011" t="s">
        <v>1588</v>
      </c>
      <c r="F313" s="1011" t="s">
        <v>1783</v>
      </c>
    </row>
    <row r="314" spans="1:6" x14ac:dyDescent="0.25">
      <c r="A314" s="1011">
        <v>94156098</v>
      </c>
      <c r="B314" s="1011" t="s">
        <v>2495</v>
      </c>
      <c r="C314" s="1011" t="s">
        <v>2496</v>
      </c>
      <c r="D314" s="1011" t="s">
        <v>2497</v>
      </c>
      <c r="E314" s="1011" t="s">
        <v>1612</v>
      </c>
      <c r="F314" s="1011" t="s">
        <v>2498</v>
      </c>
    </row>
    <row r="315" spans="1:6" x14ac:dyDescent="0.25">
      <c r="A315" s="1011">
        <v>4125712</v>
      </c>
      <c r="B315" s="1011" t="s">
        <v>2499</v>
      </c>
      <c r="C315" s="1011" t="s">
        <v>2500</v>
      </c>
      <c r="D315" s="1011" t="s">
        <v>1735</v>
      </c>
      <c r="E315" s="1011" t="s">
        <v>1588</v>
      </c>
      <c r="F315" s="1011" t="s">
        <v>1736</v>
      </c>
    </row>
    <row r="316" spans="1:6" x14ac:dyDescent="0.25">
      <c r="A316" s="1011">
        <v>64131469</v>
      </c>
      <c r="B316" s="1011" t="s">
        <v>2501</v>
      </c>
      <c r="C316" s="1011" t="s">
        <v>2502</v>
      </c>
      <c r="D316" s="1011" t="s">
        <v>2503</v>
      </c>
      <c r="E316" s="1011" t="s">
        <v>1593</v>
      </c>
      <c r="F316" s="1011" t="s">
        <v>2504</v>
      </c>
    </row>
    <row r="317" spans="1:6" x14ac:dyDescent="0.25">
      <c r="A317" s="1011">
        <v>24124505</v>
      </c>
      <c r="B317" s="1011" t="s">
        <v>2505</v>
      </c>
      <c r="C317" s="1011" t="s">
        <v>2506</v>
      </c>
      <c r="D317" s="1011" t="s">
        <v>1725</v>
      </c>
      <c r="E317" s="1011" t="s">
        <v>1593</v>
      </c>
      <c r="F317" s="1011" t="s">
        <v>1413</v>
      </c>
    </row>
    <row r="318" spans="1:6" x14ac:dyDescent="0.25">
      <c r="A318" s="1011">
        <v>44123453</v>
      </c>
      <c r="B318" s="1011" t="s">
        <v>2507</v>
      </c>
      <c r="C318" s="1011" t="s">
        <v>2508</v>
      </c>
      <c r="D318" s="1011" t="s">
        <v>1127</v>
      </c>
      <c r="E318" s="1011" t="s">
        <v>1593</v>
      </c>
      <c r="F318" s="1011" t="s">
        <v>1445</v>
      </c>
    </row>
    <row r="319" spans="1:6" x14ac:dyDescent="0.25">
      <c r="A319" s="1011">
        <v>64124845</v>
      </c>
      <c r="B319" s="1011" t="s">
        <v>2509</v>
      </c>
      <c r="C319" s="1011" t="s">
        <v>2510</v>
      </c>
      <c r="D319" s="1011" t="s">
        <v>2511</v>
      </c>
      <c r="E319" s="1011" t="s">
        <v>1583</v>
      </c>
      <c r="F319" s="1011" t="s">
        <v>2512</v>
      </c>
    </row>
    <row r="320" spans="1:6" x14ac:dyDescent="0.25">
      <c r="A320" s="1011">
        <v>24125841</v>
      </c>
      <c r="B320" s="1011" t="s">
        <v>2513</v>
      </c>
      <c r="C320" s="1011" t="s">
        <v>2514</v>
      </c>
      <c r="D320" s="1011" t="s">
        <v>2515</v>
      </c>
      <c r="E320" s="1011" t="s">
        <v>1588</v>
      </c>
      <c r="F320" s="1011" t="s">
        <v>2516</v>
      </c>
    </row>
    <row r="321" spans="1:6" x14ac:dyDescent="0.25">
      <c r="A321" s="1011">
        <v>84123504</v>
      </c>
      <c r="B321" s="1011" t="s">
        <v>2517</v>
      </c>
      <c r="C321" s="1011" t="s">
        <v>2518</v>
      </c>
      <c r="D321" s="1011" t="s">
        <v>1127</v>
      </c>
      <c r="E321" s="1011" t="s">
        <v>1593</v>
      </c>
      <c r="F321" s="1011" t="s">
        <v>1383</v>
      </c>
    </row>
    <row r="322" spans="1:6" x14ac:dyDescent="0.25">
      <c r="A322" s="1011">
        <v>44124675</v>
      </c>
      <c r="B322" s="1011" t="s">
        <v>2519</v>
      </c>
      <c r="C322" s="1011" t="s">
        <v>2520</v>
      </c>
      <c r="D322" s="1011" t="s">
        <v>1127</v>
      </c>
      <c r="E322" s="1011" t="s">
        <v>1593</v>
      </c>
      <c r="F322" s="1011" t="s">
        <v>1375</v>
      </c>
    </row>
    <row r="323" spans="1:6" x14ac:dyDescent="0.25">
      <c r="A323" s="1011">
        <v>44126043</v>
      </c>
      <c r="B323" s="1011" t="s">
        <v>2521</v>
      </c>
      <c r="C323" s="1011" t="s">
        <v>2522</v>
      </c>
      <c r="D323" s="1011" t="s">
        <v>2523</v>
      </c>
      <c r="E323" s="1011" t="s">
        <v>1612</v>
      </c>
      <c r="F323" s="1011" t="s">
        <v>2524</v>
      </c>
    </row>
    <row r="324" spans="1:6" x14ac:dyDescent="0.25">
      <c r="A324" s="1011">
        <v>74149923</v>
      </c>
      <c r="B324" s="1011" t="s">
        <v>2525</v>
      </c>
      <c r="C324" s="1011" t="s">
        <v>2014</v>
      </c>
      <c r="D324" s="1011" t="s">
        <v>2015</v>
      </c>
      <c r="E324" s="1011" t="s">
        <v>1593</v>
      </c>
      <c r="F324" s="1011" t="s">
        <v>2016</v>
      </c>
    </row>
    <row r="325" spans="1:6" x14ac:dyDescent="0.25">
      <c r="A325" s="1011">
        <v>54123716</v>
      </c>
      <c r="B325" s="1011" t="s">
        <v>2526</v>
      </c>
      <c r="C325" s="1011" t="s">
        <v>2527</v>
      </c>
      <c r="D325" s="1011" t="s">
        <v>1685</v>
      </c>
      <c r="E325" s="1011" t="s">
        <v>1593</v>
      </c>
      <c r="F325" s="1011" t="s">
        <v>1469</v>
      </c>
    </row>
    <row r="326" spans="1:6" x14ac:dyDescent="0.25">
      <c r="A326" s="1011">
        <v>44124766</v>
      </c>
      <c r="B326" s="1011" t="s">
        <v>2528</v>
      </c>
      <c r="C326" s="1011" t="s">
        <v>2529</v>
      </c>
      <c r="D326" s="1011" t="s">
        <v>2530</v>
      </c>
      <c r="E326" s="1011" t="s">
        <v>1583</v>
      </c>
      <c r="F326" s="1011" t="s">
        <v>1379</v>
      </c>
    </row>
    <row r="327" spans="1:6" x14ac:dyDescent="0.25">
      <c r="A327" s="1011">
        <v>44123511</v>
      </c>
      <c r="B327" s="1011" t="s">
        <v>2531</v>
      </c>
      <c r="C327" s="1011" t="s">
        <v>2532</v>
      </c>
      <c r="D327" s="1011" t="s">
        <v>1127</v>
      </c>
      <c r="E327" s="1011" t="s">
        <v>1593</v>
      </c>
      <c r="F327" s="1011" t="s">
        <v>1383</v>
      </c>
    </row>
    <row r="328" spans="1:6" x14ac:dyDescent="0.25">
      <c r="A328" s="1011">
        <v>34175984</v>
      </c>
      <c r="B328" s="1011" t="s">
        <v>2533</v>
      </c>
      <c r="C328" s="1011" t="s">
        <v>2534</v>
      </c>
      <c r="D328" s="1011" t="s">
        <v>2332</v>
      </c>
      <c r="E328" s="1011" t="s">
        <v>1583</v>
      </c>
      <c r="F328" s="1011" t="s">
        <v>2333</v>
      </c>
    </row>
    <row r="329" spans="1:6" x14ac:dyDescent="0.25">
      <c r="A329" s="1011">
        <v>24124398</v>
      </c>
      <c r="B329" s="1011" t="s">
        <v>2535</v>
      </c>
      <c r="C329" s="1011" t="s">
        <v>2536</v>
      </c>
      <c r="D329" s="1011" t="s">
        <v>1728</v>
      </c>
      <c r="E329" s="1011" t="s">
        <v>1593</v>
      </c>
      <c r="F329" s="1011" t="s">
        <v>1729</v>
      </c>
    </row>
    <row r="330" spans="1:6" x14ac:dyDescent="0.25">
      <c r="A330" s="1011">
        <v>74124637</v>
      </c>
      <c r="B330" s="1011" t="s">
        <v>2537</v>
      </c>
      <c r="C330" s="1011" t="s">
        <v>2538</v>
      </c>
      <c r="D330" s="1011" t="s">
        <v>2539</v>
      </c>
      <c r="E330" s="1011" t="s">
        <v>1593</v>
      </c>
      <c r="F330" s="1011" t="s">
        <v>2540</v>
      </c>
    </row>
    <row r="331" spans="1:6" x14ac:dyDescent="0.25">
      <c r="A331" s="1011">
        <v>64125370</v>
      </c>
      <c r="B331" s="1011" t="s">
        <v>2541</v>
      </c>
      <c r="C331" s="1011" t="s">
        <v>2542</v>
      </c>
      <c r="D331" s="1011" t="s">
        <v>2365</v>
      </c>
      <c r="E331" s="1011" t="s">
        <v>1588</v>
      </c>
      <c r="F331" s="1011" t="s">
        <v>2366</v>
      </c>
    </row>
    <row r="332" spans="1:6" x14ac:dyDescent="0.25">
      <c r="A332" s="1011">
        <v>64125560</v>
      </c>
      <c r="B332" s="1011" t="s">
        <v>2543</v>
      </c>
      <c r="C332" s="1011" t="s">
        <v>2544</v>
      </c>
      <c r="D332" s="1011" t="s">
        <v>2313</v>
      </c>
      <c r="E332" s="1011" t="s">
        <v>1588</v>
      </c>
      <c r="F332" s="1011" t="s">
        <v>1347</v>
      </c>
    </row>
    <row r="333" spans="1:6" x14ac:dyDescent="0.25">
      <c r="A333" s="1011">
        <v>24126013</v>
      </c>
      <c r="B333" s="1011" t="s">
        <v>2545</v>
      </c>
      <c r="C333" s="1011" t="s">
        <v>2546</v>
      </c>
      <c r="D333" s="1011" t="s">
        <v>1735</v>
      </c>
      <c r="E333" s="1011" t="s">
        <v>1588</v>
      </c>
      <c r="F333" s="1011" t="s">
        <v>1736</v>
      </c>
    </row>
    <row r="334" spans="1:6" x14ac:dyDescent="0.25">
      <c r="A334" s="1011">
        <v>44126100</v>
      </c>
      <c r="B334" s="1011" t="s">
        <v>2547</v>
      </c>
      <c r="C334" s="1011" t="s">
        <v>2548</v>
      </c>
      <c r="D334" s="1011" t="s">
        <v>1596</v>
      </c>
      <c r="E334" s="1011" t="s">
        <v>1593</v>
      </c>
      <c r="F334" s="1011" t="s">
        <v>1351</v>
      </c>
    </row>
    <row r="335" spans="1:6" x14ac:dyDescent="0.25">
      <c r="A335" s="1011">
        <v>14123467</v>
      </c>
      <c r="B335" s="1011" t="s">
        <v>2549</v>
      </c>
      <c r="C335" s="1011" t="s">
        <v>2550</v>
      </c>
      <c r="D335" s="1011" t="s">
        <v>1127</v>
      </c>
      <c r="E335" s="1011" t="s">
        <v>1593</v>
      </c>
      <c r="F335" s="1011" t="s">
        <v>1383</v>
      </c>
    </row>
    <row r="336" spans="1:6" x14ac:dyDescent="0.25">
      <c r="A336" s="1011">
        <v>4125423</v>
      </c>
      <c r="B336" s="1011" t="s">
        <v>2551</v>
      </c>
      <c r="C336" s="1011" t="s">
        <v>2552</v>
      </c>
      <c r="D336" s="1011" t="s">
        <v>72</v>
      </c>
      <c r="E336" s="1011" t="s">
        <v>1612</v>
      </c>
      <c r="F336" s="1011" t="s">
        <v>1739</v>
      </c>
    </row>
    <row r="337" spans="1:6" x14ac:dyDescent="0.25">
      <c r="A337" s="1011">
        <v>74125519</v>
      </c>
      <c r="B337" s="1011" t="s">
        <v>2553</v>
      </c>
      <c r="C337" s="1011" t="s">
        <v>2554</v>
      </c>
      <c r="D337" s="1011" t="s">
        <v>2555</v>
      </c>
      <c r="E337" s="1011" t="s">
        <v>1588</v>
      </c>
      <c r="F337" s="1011" t="s">
        <v>2556</v>
      </c>
    </row>
    <row r="338" spans="1:6" x14ac:dyDescent="0.25">
      <c r="A338" s="1011">
        <v>74124595</v>
      </c>
      <c r="B338" s="1011" t="s">
        <v>2557</v>
      </c>
      <c r="C338" s="1011" t="s">
        <v>2558</v>
      </c>
      <c r="D338" s="1011" t="s">
        <v>2559</v>
      </c>
      <c r="E338" s="1011" t="s">
        <v>1583</v>
      </c>
      <c r="F338" s="1011" t="s">
        <v>2560</v>
      </c>
    </row>
    <row r="339" spans="1:6" x14ac:dyDescent="0.25">
      <c r="A339" s="1011">
        <v>44125250</v>
      </c>
      <c r="B339" s="1011" t="s">
        <v>2561</v>
      </c>
      <c r="C339" s="1011" t="s">
        <v>2562</v>
      </c>
      <c r="D339" s="1011" t="s">
        <v>1804</v>
      </c>
      <c r="E339" s="1011" t="s">
        <v>1588</v>
      </c>
      <c r="F339" s="1011" t="s">
        <v>1805</v>
      </c>
    </row>
    <row r="340" spans="1:6" x14ac:dyDescent="0.25">
      <c r="A340" s="1011">
        <v>14124630</v>
      </c>
      <c r="B340" s="1011" t="s">
        <v>2563</v>
      </c>
      <c r="C340" s="1011" t="s">
        <v>2564</v>
      </c>
      <c r="D340" s="1011" t="s">
        <v>2439</v>
      </c>
      <c r="E340" s="1011" t="s">
        <v>1583</v>
      </c>
      <c r="F340" s="1011" t="s">
        <v>2440</v>
      </c>
    </row>
    <row r="341" spans="1:6" x14ac:dyDescent="0.25">
      <c r="A341" s="1011">
        <v>74124389</v>
      </c>
      <c r="B341" s="1011" t="s">
        <v>2565</v>
      </c>
      <c r="C341" s="1011" t="s">
        <v>2566</v>
      </c>
      <c r="D341" s="1011" t="s">
        <v>2074</v>
      </c>
      <c r="E341" s="1011" t="s">
        <v>1593</v>
      </c>
      <c r="F341" s="1011" t="s">
        <v>2075</v>
      </c>
    </row>
    <row r="342" spans="1:6" x14ac:dyDescent="0.25">
      <c r="A342" s="1011">
        <v>34125716</v>
      </c>
      <c r="B342" s="1011" t="s">
        <v>2567</v>
      </c>
      <c r="C342" s="1011" t="s">
        <v>2568</v>
      </c>
      <c r="D342" s="1011" t="s">
        <v>72</v>
      </c>
      <c r="E342" s="1011" t="s">
        <v>1612</v>
      </c>
      <c r="F342" s="1011" t="s">
        <v>2569</v>
      </c>
    </row>
    <row r="343" spans="1:6" x14ac:dyDescent="0.25">
      <c r="A343" s="1011">
        <v>74132861</v>
      </c>
      <c r="B343" s="1011" t="s">
        <v>2570</v>
      </c>
      <c r="C343" s="1011" t="s">
        <v>2571</v>
      </c>
      <c r="D343" s="1011" t="s">
        <v>1127</v>
      </c>
      <c r="E343" s="1011" t="s">
        <v>1593</v>
      </c>
      <c r="F343" s="1011" t="s">
        <v>1449</v>
      </c>
    </row>
    <row r="344" spans="1:6" x14ac:dyDescent="0.25">
      <c r="A344" s="1011">
        <v>94124443</v>
      </c>
      <c r="B344" s="1011" t="s">
        <v>2572</v>
      </c>
      <c r="C344" s="1011" t="s">
        <v>2573</v>
      </c>
      <c r="D344" s="1011" t="s">
        <v>2313</v>
      </c>
      <c r="E344" s="1011" t="s">
        <v>1593</v>
      </c>
      <c r="F344" s="1011" t="s">
        <v>2574</v>
      </c>
    </row>
    <row r="345" spans="1:6" x14ac:dyDescent="0.25">
      <c r="A345" s="1011">
        <v>14123897</v>
      </c>
      <c r="B345" s="1011" t="s">
        <v>2575</v>
      </c>
      <c r="C345" s="1011" t="s">
        <v>2576</v>
      </c>
      <c r="D345" s="1011" t="s">
        <v>1728</v>
      </c>
      <c r="E345" s="1011" t="s">
        <v>1593</v>
      </c>
      <c r="F345" s="1011" t="s">
        <v>1729</v>
      </c>
    </row>
    <row r="346" spans="1:6" x14ac:dyDescent="0.25">
      <c r="A346" s="1011">
        <v>74124009</v>
      </c>
      <c r="B346" s="1011" t="s">
        <v>2577</v>
      </c>
      <c r="C346" s="1011" t="s">
        <v>2506</v>
      </c>
      <c r="D346" s="1011" t="s">
        <v>1725</v>
      </c>
      <c r="E346" s="1011" t="s">
        <v>1593</v>
      </c>
      <c r="F346" s="1011" t="s">
        <v>1413</v>
      </c>
    </row>
    <row r="347" spans="1:6" x14ac:dyDescent="0.25">
      <c r="A347" s="1011">
        <v>44124204</v>
      </c>
      <c r="B347" s="1011" t="s">
        <v>2578</v>
      </c>
      <c r="C347" s="1011" t="s">
        <v>2579</v>
      </c>
      <c r="D347" s="1011" t="s">
        <v>1880</v>
      </c>
      <c r="E347" s="1011" t="s">
        <v>1583</v>
      </c>
      <c r="F347" s="1011" t="s">
        <v>1881</v>
      </c>
    </row>
    <row r="348" spans="1:6" x14ac:dyDescent="0.25">
      <c r="A348" s="1011">
        <v>14126056</v>
      </c>
      <c r="B348" s="1011" t="s">
        <v>2580</v>
      </c>
      <c r="C348" s="1011" t="s">
        <v>2581</v>
      </c>
      <c r="D348" s="1011" t="s">
        <v>1125</v>
      </c>
      <c r="E348" s="1011" t="s">
        <v>1588</v>
      </c>
      <c r="F348" s="1011" t="s">
        <v>1619</v>
      </c>
    </row>
    <row r="349" spans="1:6" x14ac:dyDescent="0.25">
      <c r="A349" s="1011">
        <v>44135747</v>
      </c>
      <c r="B349" s="1011" t="s">
        <v>2582</v>
      </c>
      <c r="C349" s="1011" t="s">
        <v>2583</v>
      </c>
      <c r="D349" s="1011" t="s">
        <v>2007</v>
      </c>
      <c r="E349" s="1011" t="s">
        <v>1588</v>
      </c>
      <c r="F349" s="1011" t="s">
        <v>2008</v>
      </c>
    </row>
    <row r="350" spans="1:6" x14ac:dyDescent="0.25">
      <c r="A350" s="1011">
        <v>24124141</v>
      </c>
      <c r="B350" s="1011" t="s">
        <v>2584</v>
      </c>
      <c r="C350" s="1011" t="s">
        <v>2585</v>
      </c>
      <c r="D350" s="1011" t="s">
        <v>2465</v>
      </c>
      <c r="E350" s="1011" t="s">
        <v>1593</v>
      </c>
      <c r="F350" s="1011" t="s">
        <v>2466</v>
      </c>
    </row>
    <row r="351" spans="1:6" x14ac:dyDescent="0.25">
      <c r="A351" s="1011">
        <v>4125191</v>
      </c>
      <c r="B351" s="1011" t="s">
        <v>2586</v>
      </c>
      <c r="C351" s="1011" t="s">
        <v>2587</v>
      </c>
      <c r="D351" s="1011" t="s">
        <v>1892</v>
      </c>
      <c r="E351" s="1011" t="s">
        <v>1583</v>
      </c>
      <c r="F351" s="1011" t="s">
        <v>1371</v>
      </c>
    </row>
    <row r="352" spans="1:6" x14ac:dyDescent="0.25">
      <c r="A352" s="1011">
        <v>84124460</v>
      </c>
      <c r="B352" s="1011" t="s">
        <v>2588</v>
      </c>
      <c r="C352" s="1011" t="s">
        <v>2589</v>
      </c>
      <c r="D352" s="1011" t="s">
        <v>2590</v>
      </c>
      <c r="E352" s="1011" t="s">
        <v>1583</v>
      </c>
      <c r="F352" s="1011" t="s">
        <v>2591</v>
      </c>
    </row>
    <row r="353" spans="1:6" x14ac:dyDescent="0.25">
      <c r="A353" s="1011">
        <v>74124546</v>
      </c>
      <c r="B353" s="1011" t="s">
        <v>2592</v>
      </c>
      <c r="C353" s="1011" t="s">
        <v>2593</v>
      </c>
      <c r="D353" s="1011" t="s">
        <v>2594</v>
      </c>
      <c r="E353" s="1011" t="s">
        <v>1593</v>
      </c>
      <c r="F353" s="1011" t="s">
        <v>2595</v>
      </c>
    </row>
    <row r="354" spans="1:6" x14ac:dyDescent="0.25">
      <c r="A354" s="1011">
        <v>24123523</v>
      </c>
      <c r="B354" s="1011" t="s">
        <v>2596</v>
      </c>
      <c r="C354" s="1011" t="s">
        <v>2597</v>
      </c>
      <c r="D354" s="1011" t="s">
        <v>1127</v>
      </c>
      <c r="E354" s="1011" t="s">
        <v>1593</v>
      </c>
      <c r="F354" s="1011" t="s">
        <v>1375</v>
      </c>
    </row>
    <row r="355" spans="1:6" x14ac:dyDescent="0.25">
      <c r="A355" s="1011">
        <v>64161920</v>
      </c>
      <c r="B355" s="1011" t="s">
        <v>2598</v>
      </c>
      <c r="C355" s="1011" t="s">
        <v>2599</v>
      </c>
      <c r="D355" s="1011" t="s">
        <v>2600</v>
      </c>
      <c r="E355" s="1011" t="s">
        <v>1583</v>
      </c>
      <c r="F355" s="1011" t="s">
        <v>2601</v>
      </c>
    </row>
    <row r="356" spans="1:6" x14ac:dyDescent="0.25">
      <c r="A356" s="1011">
        <v>4125696</v>
      </c>
      <c r="B356" s="1011" t="s">
        <v>2602</v>
      </c>
      <c r="C356" s="1011" t="s">
        <v>2603</v>
      </c>
      <c r="D356" s="1011" t="s">
        <v>2604</v>
      </c>
      <c r="E356" s="1011" t="s">
        <v>1588</v>
      </c>
      <c r="F356" s="1011" t="s">
        <v>2605</v>
      </c>
    </row>
    <row r="357" spans="1:6" x14ac:dyDescent="0.25">
      <c r="A357" s="1011">
        <v>4125787</v>
      </c>
      <c r="B357" s="1011" t="s">
        <v>2606</v>
      </c>
      <c r="C357" s="1011" t="s">
        <v>2607</v>
      </c>
      <c r="D357" s="1011" t="s">
        <v>2608</v>
      </c>
      <c r="E357" s="1011" t="s">
        <v>1588</v>
      </c>
      <c r="F357" s="1011" t="s">
        <v>1439</v>
      </c>
    </row>
    <row r="358" spans="1:6" x14ac:dyDescent="0.25">
      <c r="A358" s="1011">
        <v>84125624</v>
      </c>
      <c r="B358" s="1011" t="s">
        <v>2609</v>
      </c>
      <c r="C358" s="1011" t="s">
        <v>2610</v>
      </c>
      <c r="D358" s="1011" t="s">
        <v>1125</v>
      </c>
      <c r="E358" s="1011" t="s">
        <v>1588</v>
      </c>
      <c r="F358" s="1011" t="s">
        <v>1770</v>
      </c>
    </row>
    <row r="359" spans="1:6" x14ac:dyDescent="0.25">
      <c r="A359" s="1011">
        <v>54124326</v>
      </c>
      <c r="B359" s="1011" t="s">
        <v>2611</v>
      </c>
      <c r="C359" s="1011" t="s">
        <v>2612</v>
      </c>
      <c r="D359" s="1011" t="s">
        <v>2613</v>
      </c>
      <c r="E359" s="1011" t="s">
        <v>1593</v>
      </c>
      <c r="F359" s="1011" t="s">
        <v>1447</v>
      </c>
    </row>
    <row r="360" spans="1:6" x14ac:dyDescent="0.25">
      <c r="A360" s="1011">
        <v>94123692</v>
      </c>
      <c r="B360" s="1011" t="s">
        <v>2614</v>
      </c>
      <c r="C360" s="1011" t="s">
        <v>2615</v>
      </c>
      <c r="D360" s="1011" t="s">
        <v>1602</v>
      </c>
      <c r="E360" s="1011" t="s">
        <v>1593</v>
      </c>
      <c r="F360" s="1011" t="s">
        <v>1417</v>
      </c>
    </row>
    <row r="361" spans="1:6" x14ac:dyDescent="0.25">
      <c r="A361" s="1011">
        <v>54123971</v>
      </c>
      <c r="B361" s="1011" t="s">
        <v>2616</v>
      </c>
      <c r="C361" s="1011" t="s">
        <v>2617</v>
      </c>
      <c r="D361" s="1011" t="s">
        <v>2332</v>
      </c>
      <c r="E361" s="1011" t="s">
        <v>1583</v>
      </c>
      <c r="F361" s="1011" t="s">
        <v>2333</v>
      </c>
    </row>
    <row r="362" spans="1:6" x14ac:dyDescent="0.25">
      <c r="A362" s="1011">
        <v>84246818</v>
      </c>
      <c r="B362" s="1011" t="s">
        <v>2618</v>
      </c>
      <c r="C362" s="1011" t="s">
        <v>2619</v>
      </c>
      <c r="D362" s="1011" t="s">
        <v>1127</v>
      </c>
      <c r="E362" s="1011" t="s">
        <v>1593</v>
      </c>
      <c r="F362" s="1011" t="s">
        <v>1395</v>
      </c>
    </row>
    <row r="363" spans="1:6" x14ac:dyDescent="0.25">
      <c r="A363" s="1011">
        <v>4125639</v>
      </c>
      <c r="B363" s="1011" t="s">
        <v>2620</v>
      </c>
      <c r="C363" s="1011" t="s">
        <v>2621</v>
      </c>
      <c r="D363" s="1011" t="s">
        <v>2622</v>
      </c>
      <c r="E363" s="1011" t="s">
        <v>1588</v>
      </c>
      <c r="F363" s="1011" t="s">
        <v>2623</v>
      </c>
    </row>
    <row r="364" spans="1:6" x14ac:dyDescent="0.25">
      <c r="A364" s="1011">
        <v>44124568</v>
      </c>
      <c r="B364" s="1011" t="s">
        <v>2624</v>
      </c>
      <c r="C364" s="1011" t="s">
        <v>2625</v>
      </c>
      <c r="D364" s="1011" t="s">
        <v>1127</v>
      </c>
      <c r="E364" s="1011" t="s">
        <v>1593</v>
      </c>
      <c r="F364" s="1011" t="s">
        <v>1341</v>
      </c>
    </row>
    <row r="365" spans="1:6" x14ac:dyDescent="0.25">
      <c r="A365" s="1011">
        <v>74124587</v>
      </c>
      <c r="B365" s="1011" t="s">
        <v>2626</v>
      </c>
      <c r="C365" s="1011" t="s">
        <v>2627</v>
      </c>
      <c r="D365" s="1011" t="s">
        <v>1815</v>
      </c>
      <c r="E365" s="1011" t="s">
        <v>1593</v>
      </c>
      <c r="F365" s="1011" t="s">
        <v>1816</v>
      </c>
    </row>
    <row r="366" spans="1:6" x14ac:dyDescent="0.25">
      <c r="A366" s="1011">
        <v>34125567</v>
      </c>
      <c r="B366" s="1011" t="s">
        <v>2628</v>
      </c>
      <c r="C366" s="1011" t="s">
        <v>2629</v>
      </c>
      <c r="D366" s="1011" t="s">
        <v>2630</v>
      </c>
      <c r="E366" s="1011" t="s">
        <v>1588</v>
      </c>
      <c r="F366" s="1011" t="s">
        <v>2631</v>
      </c>
    </row>
    <row r="367" spans="1:6" x14ac:dyDescent="0.25">
      <c r="A367" s="1011">
        <v>94125903</v>
      </c>
      <c r="B367" s="1011" t="s">
        <v>2632</v>
      </c>
      <c r="C367" s="1011" t="s">
        <v>2633</v>
      </c>
      <c r="D367" s="1011" t="s">
        <v>72</v>
      </c>
      <c r="E367" s="1011" t="s">
        <v>1612</v>
      </c>
      <c r="F367" s="1011" t="s">
        <v>2634</v>
      </c>
    </row>
    <row r="368" spans="1:6" x14ac:dyDescent="0.25">
      <c r="A368" s="1011">
        <v>14124374</v>
      </c>
      <c r="B368" s="1011" t="s">
        <v>2635</v>
      </c>
      <c r="C368" s="1011" t="s">
        <v>2636</v>
      </c>
      <c r="D368" s="1011" t="s">
        <v>2065</v>
      </c>
      <c r="E368" s="1011" t="s">
        <v>1583</v>
      </c>
      <c r="F368" s="1011" t="s">
        <v>2066</v>
      </c>
    </row>
    <row r="369" spans="1:6" x14ac:dyDescent="0.25">
      <c r="A369" s="1011">
        <v>24126062</v>
      </c>
      <c r="B369" s="1011" t="s">
        <v>2637</v>
      </c>
      <c r="C369" s="1011" t="s">
        <v>2638</v>
      </c>
      <c r="D369" s="1011" t="s">
        <v>2639</v>
      </c>
      <c r="E369" s="1011" t="s">
        <v>1588</v>
      </c>
      <c r="F369" s="1011" t="s">
        <v>2640</v>
      </c>
    </row>
    <row r="370" spans="1:6" x14ac:dyDescent="0.25">
      <c r="A370" s="1011">
        <v>84124379</v>
      </c>
      <c r="B370" s="1011" t="s">
        <v>2641</v>
      </c>
      <c r="C370" s="1011" t="s">
        <v>2642</v>
      </c>
      <c r="D370" s="1011" t="s">
        <v>2643</v>
      </c>
      <c r="E370" s="1011" t="s">
        <v>1593</v>
      </c>
      <c r="F370" s="1011" t="s">
        <v>2644</v>
      </c>
    </row>
    <row r="371" spans="1:6" x14ac:dyDescent="0.25">
      <c r="A371" s="1011">
        <v>4123972</v>
      </c>
      <c r="B371" s="1011" t="s">
        <v>2645</v>
      </c>
      <c r="C371" s="1011" t="s">
        <v>2646</v>
      </c>
      <c r="D371" s="1011" t="s">
        <v>1127</v>
      </c>
      <c r="E371" s="1011" t="s">
        <v>1593</v>
      </c>
      <c r="F371" s="1011" t="s">
        <v>1383</v>
      </c>
    </row>
    <row r="372" spans="1:6" x14ac:dyDescent="0.25">
      <c r="A372" s="1011">
        <v>54123740</v>
      </c>
      <c r="B372" s="1011" t="s">
        <v>2647</v>
      </c>
      <c r="C372" s="1011" t="s">
        <v>2648</v>
      </c>
      <c r="D372" s="1011" t="s">
        <v>2649</v>
      </c>
      <c r="E372" s="1011" t="s">
        <v>1593</v>
      </c>
      <c r="F372" s="1011" t="s">
        <v>2650</v>
      </c>
    </row>
    <row r="373" spans="1:6" x14ac:dyDescent="0.25">
      <c r="A373" s="1011">
        <v>34125591</v>
      </c>
      <c r="B373" s="1011" t="s">
        <v>2651</v>
      </c>
      <c r="C373" s="1011" t="s">
        <v>2652</v>
      </c>
      <c r="D373" s="1011" t="s">
        <v>72</v>
      </c>
      <c r="E373" s="1011" t="s">
        <v>1612</v>
      </c>
      <c r="F373" s="1011" t="s">
        <v>2653</v>
      </c>
    </row>
    <row r="374" spans="1:6" x14ac:dyDescent="0.25">
      <c r="A374" s="1011">
        <v>34124032</v>
      </c>
      <c r="B374" s="1011" t="s">
        <v>2654</v>
      </c>
      <c r="C374" s="1011" t="s">
        <v>2655</v>
      </c>
      <c r="D374" s="1011" t="s">
        <v>2114</v>
      </c>
      <c r="E374" s="1011" t="s">
        <v>1583</v>
      </c>
      <c r="F374" s="1011" t="s">
        <v>1357</v>
      </c>
    </row>
    <row r="375" spans="1:6" x14ac:dyDescent="0.25">
      <c r="A375" s="1011">
        <v>14125512</v>
      </c>
      <c r="B375" s="1011" t="s">
        <v>2656</v>
      </c>
      <c r="C375" s="1011" t="s">
        <v>2657</v>
      </c>
      <c r="D375" s="1011" t="s">
        <v>2394</v>
      </c>
      <c r="E375" s="1011" t="s">
        <v>1588</v>
      </c>
      <c r="F375" s="1011" t="s">
        <v>2395</v>
      </c>
    </row>
    <row r="376" spans="1:6" x14ac:dyDescent="0.25">
      <c r="A376" s="1011">
        <v>64125743</v>
      </c>
      <c r="B376" s="1011" t="s">
        <v>2658</v>
      </c>
      <c r="C376" s="1011" t="s">
        <v>2659</v>
      </c>
      <c r="D376" s="1011" t="s">
        <v>1717</v>
      </c>
      <c r="E376" s="1011" t="s">
        <v>1588</v>
      </c>
      <c r="F376" s="1011" t="s">
        <v>1718</v>
      </c>
    </row>
    <row r="377" spans="1:6" x14ac:dyDescent="0.25">
      <c r="A377" s="1011">
        <v>94125309</v>
      </c>
      <c r="B377" s="1011" t="s">
        <v>2660</v>
      </c>
      <c r="C377" s="1011" t="s">
        <v>2661</v>
      </c>
      <c r="D377" s="1011" t="s">
        <v>2662</v>
      </c>
      <c r="E377" s="1011" t="s">
        <v>1588</v>
      </c>
      <c r="F377" s="1011" t="s">
        <v>2663</v>
      </c>
    </row>
    <row r="378" spans="1:6" x14ac:dyDescent="0.25">
      <c r="A378" s="1011">
        <v>34124867</v>
      </c>
      <c r="B378" s="1011" t="s">
        <v>2664</v>
      </c>
      <c r="C378" s="1011" t="s">
        <v>2665</v>
      </c>
      <c r="D378" s="1011" t="s">
        <v>1602</v>
      </c>
      <c r="E378" s="1011" t="s">
        <v>1583</v>
      </c>
      <c r="F378" s="1011" t="s">
        <v>1457</v>
      </c>
    </row>
    <row r="379" spans="1:6" x14ac:dyDescent="0.25">
      <c r="A379" s="1011">
        <v>54124631</v>
      </c>
      <c r="B379" s="1011" t="s">
        <v>2666</v>
      </c>
      <c r="C379" s="1011" t="s">
        <v>2667</v>
      </c>
      <c r="D379" s="1011" t="s">
        <v>1127</v>
      </c>
      <c r="E379" s="1011" t="s">
        <v>1593</v>
      </c>
      <c r="F379" s="1011" t="s">
        <v>1461</v>
      </c>
    </row>
    <row r="380" spans="1:6" x14ac:dyDescent="0.25">
      <c r="A380" s="1011">
        <v>64125685</v>
      </c>
      <c r="B380" s="1011" t="s">
        <v>2668</v>
      </c>
      <c r="C380" s="1011" t="s">
        <v>2669</v>
      </c>
      <c r="D380" s="1011" t="s">
        <v>2670</v>
      </c>
      <c r="E380" s="1011" t="s">
        <v>1588</v>
      </c>
      <c r="F380" s="1011" t="s">
        <v>2671</v>
      </c>
    </row>
    <row r="381" spans="1:6" x14ac:dyDescent="0.25">
      <c r="A381" s="1011">
        <v>84124502</v>
      </c>
      <c r="B381" s="1011" t="s">
        <v>2672</v>
      </c>
      <c r="C381" s="1011" t="s">
        <v>2673</v>
      </c>
      <c r="D381" s="1011" t="s">
        <v>1857</v>
      </c>
      <c r="E381" s="1011" t="s">
        <v>1593</v>
      </c>
      <c r="F381" s="1011" t="s">
        <v>1858</v>
      </c>
    </row>
    <row r="382" spans="1:6" x14ac:dyDescent="0.25">
      <c r="A382" s="1011">
        <v>44123974</v>
      </c>
      <c r="B382" s="1011" t="s">
        <v>2674</v>
      </c>
      <c r="C382" s="1011" t="s">
        <v>2675</v>
      </c>
      <c r="D382" s="1011" t="s">
        <v>2065</v>
      </c>
      <c r="E382" s="1011" t="s">
        <v>1583</v>
      </c>
      <c r="F382" s="1011" t="s">
        <v>2066</v>
      </c>
    </row>
    <row r="383" spans="1:6" x14ac:dyDescent="0.25">
      <c r="A383" s="1011">
        <v>4123782</v>
      </c>
      <c r="B383" s="1011" t="s">
        <v>2676</v>
      </c>
      <c r="C383" s="1011" t="s">
        <v>2677</v>
      </c>
      <c r="D383" s="1011" t="s">
        <v>2678</v>
      </c>
      <c r="E383" s="1011" t="s">
        <v>1593</v>
      </c>
      <c r="F383" s="1011" t="s">
        <v>2679</v>
      </c>
    </row>
    <row r="384" spans="1:6" x14ac:dyDescent="0.25">
      <c r="A384" s="1011">
        <v>44124519</v>
      </c>
      <c r="B384" s="1011" t="s">
        <v>2680</v>
      </c>
      <c r="C384" s="1011" t="s">
        <v>2681</v>
      </c>
      <c r="D384" s="1011" t="s">
        <v>2682</v>
      </c>
      <c r="E384" s="1011" t="s">
        <v>1593</v>
      </c>
      <c r="F384" s="1011" t="s">
        <v>2683</v>
      </c>
    </row>
    <row r="385" spans="1:6" x14ac:dyDescent="0.25">
      <c r="A385" s="1011">
        <v>54124847</v>
      </c>
      <c r="B385" s="1011" t="s">
        <v>2684</v>
      </c>
      <c r="C385" s="1011" t="s">
        <v>2685</v>
      </c>
      <c r="D385" s="1011" t="s">
        <v>2686</v>
      </c>
      <c r="E385" s="1011" t="s">
        <v>1583</v>
      </c>
      <c r="F385" s="1011" t="s">
        <v>2687</v>
      </c>
    </row>
    <row r="386" spans="1:6" x14ac:dyDescent="0.25">
      <c r="A386" s="1011">
        <v>54123468</v>
      </c>
      <c r="B386" s="1011" t="s">
        <v>2688</v>
      </c>
      <c r="C386" s="1011" t="s">
        <v>2689</v>
      </c>
      <c r="D386" s="1011" t="s">
        <v>1127</v>
      </c>
      <c r="E386" s="1011" t="s">
        <v>1593</v>
      </c>
      <c r="F386" s="1011" t="s">
        <v>1383</v>
      </c>
    </row>
    <row r="387" spans="1:6" x14ac:dyDescent="0.25">
      <c r="A387" s="1011">
        <v>54153457</v>
      </c>
      <c r="B387" s="1011" t="s">
        <v>2690</v>
      </c>
      <c r="C387" s="1011" t="s">
        <v>2691</v>
      </c>
      <c r="D387" s="1011" t="s">
        <v>2692</v>
      </c>
      <c r="E387" s="1011" t="s">
        <v>1583</v>
      </c>
      <c r="F387" s="1011" t="s">
        <v>2693</v>
      </c>
    </row>
    <row r="388" spans="1:6" x14ac:dyDescent="0.25">
      <c r="A388" s="1011">
        <v>44123750</v>
      </c>
      <c r="B388" s="1011" t="s">
        <v>2694</v>
      </c>
      <c r="C388" s="1011" t="s">
        <v>2695</v>
      </c>
      <c r="D388" s="1011" t="s">
        <v>2133</v>
      </c>
      <c r="E388" s="1011" t="s">
        <v>1593</v>
      </c>
      <c r="F388" s="1011" t="s">
        <v>2134</v>
      </c>
    </row>
    <row r="389" spans="1:6" x14ac:dyDescent="0.25">
      <c r="A389" s="1011">
        <v>94125499</v>
      </c>
      <c r="B389" s="1011" t="s">
        <v>2696</v>
      </c>
      <c r="C389" s="1011" t="s">
        <v>2697</v>
      </c>
      <c r="D389" s="1011" t="s">
        <v>2698</v>
      </c>
      <c r="E389" s="1011" t="s">
        <v>1612</v>
      </c>
      <c r="F389" s="1011" t="s">
        <v>2699</v>
      </c>
    </row>
    <row r="390" spans="1:6" x14ac:dyDescent="0.25">
      <c r="A390" s="1011">
        <v>44123743</v>
      </c>
      <c r="B390" s="1011" t="s">
        <v>2700</v>
      </c>
      <c r="C390" s="1011" t="s">
        <v>2701</v>
      </c>
      <c r="D390" s="1011" t="s">
        <v>1127</v>
      </c>
      <c r="E390" s="1011" t="s">
        <v>1593</v>
      </c>
      <c r="F390" s="1011" t="s">
        <v>1383</v>
      </c>
    </row>
    <row r="391" spans="1:6" x14ac:dyDescent="0.25">
      <c r="A391" s="1011">
        <v>4125514</v>
      </c>
      <c r="B391" s="1011" t="s">
        <v>2702</v>
      </c>
      <c r="C391" s="1011" t="s">
        <v>2703</v>
      </c>
      <c r="D391" s="1011" t="s">
        <v>2394</v>
      </c>
      <c r="E391" s="1011" t="s">
        <v>1588</v>
      </c>
      <c r="F391" s="1011" t="s">
        <v>2395</v>
      </c>
    </row>
    <row r="392" spans="1:6" x14ac:dyDescent="0.25">
      <c r="A392" s="1011">
        <v>84146273</v>
      </c>
      <c r="B392" s="1011" t="s">
        <v>2704</v>
      </c>
      <c r="C392" s="1011" t="s">
        <v>2705</v>
      </c>
      <c r="D392" s="1011" t="s">
        <v>2316</v>
      </c>
      <c r="E392" s="1011" t="s">
        <v>1588</v>
      </c>
      <c r="F392" s="1011" t="s">
        <v>1441</v>
      </c>
    </row>
    <row r="393" spans="1:6" x14ac:dyDescent="0.25">
      <c r="A393" s="1011">
        <v>84125996</v>
      </c>
      <c r="B393" s="1011" t="s">
        <v>2706</v>
      </c>
      <c r="C393" s="1011" t="s">
        <v>2707</v>
      </c>
      <c r="D393" s="1011" t="s">
        <v>2708</v>
      </c>
      <c r="E393" s="1011" t="s">
        <v>1588</v>
      </c>
      <c r="F393" s="1011" t="s">
        <v>2709</v>
      </c>
    </row>
    <row r="394" spans="1:6" x14ac:dyDescent="0.25">
      <c r="A394" s="1011">
        <v>74230632</v>
      </c>
      <c r="B394" s="1011" t="s">
        <v>2710</v>
      </c>
      <c r="C394" s="1011" t="s">
        <v>2711</v>
      </c>
      <c r="D394" s="1011" t="s">
        <v>1679</v>
      </c>
      <c r="E394" s="1011" t="s">
        <v>1588</v>
      </c>
      <c r="F394" s="1011" t="s">
        <v>1427</v>
      </c>
    </row>
    <row r="395" spans="1:6" x14ac:dyDescent="0.25">
      <c r="A395" s="1011">
        <v>84124536</v>
      </c>
      <c r="B395" s="1011" t="s">
        <v>2712</v>
      </c>
      <c r="C395" s="1011" t="s">
        <v>2713</v>
      </c>
      <c r="D395" s="1011" t="s">
        <v>1127</v>
      </c>
      <c r="E395" s="1011" t="s">
        <v>1593</v>
      </c>
      <c r="F395" s="1011" t="s">
        <v>1449</v>
      </c>
    </row>
    <row r="396" spans="1:6" x14ac:dyDescent="0.25">
      <c r="A396" s="1011">
        <v>84123454</v>
      </c>
      <c r="B396" s="1011" t="s">
        <v>2714</v>
      </c>
      <c r="C396" s="1011" t="s">
        <v>2715</v>
      </c>
      <c r="D396" s="1011" t="s">
        <v>1127</v>
      </c>
      <c r="E396" s="1011" t="s">
        <v>1593</v>
      </c>
      <c r="F396" s="1011" t="s">
        <v>1375</v>
      </c>
    </row>
    <row r="397" spans="1:6" x14ac:dyDescent="0.25">
      <c r="A397" s="1011">
        <v>74136391</v>
      </c>
      <c r="B397" s="1011" t="s">
        <v>2716</v>
      </c>
      <c r="C397" s="1011" t="s">
        <v>2717</v>
      </c>
      <c r="D397" s="1011" t="s">
        <v>1127</v>
      </c>
      <c r="E397" s="1011" t="s">
        <v>1593</v>
      </c>
      <c r="F397" s="1011" t="s">
        <v>1375</v>
      </c>
    </row>
    <row r="398" spans="1:6" x14ac:dyDescent="0.25">
      <c r="A398" s="1011">
        <v>54125976</v>
      </c>
      <c r="B398" s="1011" t="s">
        <v>2718</v>
      </c>
      <c r="C398" s="1011" t="s">
        <v>2719</v>
      </c>
      <c r="D398" s="1011" t="s">
        <v>2295</v>
      </c>
      <c r="E398" s="1011" t="s">
        <v>1612</v>
      </c>
      <c r="F398" s="1011" t="s">
        <v>2296</v>
      </c>
    </row>
    <row r="399" spans="1:6" x14ac:dyDescent="0.25">
      <c r="A399" s="1011">
        <v>14125991</v>
      </c>
      <c r="B399" s="1011" t="s">
        <v>2720</v>
      </c>
      <c r="C399" s="1011" t="s">
        <v>2721</v>
      </c>
      <c r="D399" s="1011" t="s">
        <v>2722</v>
      </c>
      <c r="E399" s="1011" t="s">
        <v>1588</v>
      </c>
      <c r="F399" s="1011" t="s">
        <v>2723</v>
      </c>
    </row>
    <row r="400" spans="1:6" x14ac:dyDescent="0.25">
      <c r="A400" s="1011">
        <v>64124696</v>
      </c>
      <c r="B400" s="1011" t="s">
        <v>2724</v>
      </c>
      <c r="C400" s="1011" t="s">
        <v>2725</v>
      </c>
      <c r="D400" s="1011" t="s">
        <v>2726</v>
      </c>
      <c r="E400" s="1011" t="s">
        <v>1593</v>
      </c>
      <c r="F400" s="1011" t="s">
        <v>2727</v>
      </c>
    </row>
    <row r="401" spans="1:6" x14ac:dyDescent="0.25">
      <c r="A401" s="1011">
        <v>54238175</v>
      </c>
      <c r="B401" s="1011" t="s">
        <v>2728</v>
      </c>
      <c r="C401" s="1011" t="s">
        <v>2729</v>
      </c>
      <c r="D401" s="1011" t="s">
        <v>2730</v>
      </c>
      <c r="E401" s="1011" t="s">
        <v>1588</v>
      </c>
      <c r="F401" s="1011" t="s">
        <v>2731</v>
      </c>
    </row>
    <row r="402" spans="1:6" x14ac:dyDescent="0.25">
      <c r="A402" s="1011">
        <v>14124531</v>
      </c>
      <c r="B402" s="1011" t="s">
        <v>2732</v>
      </c>
      <c r="C402" s="1011" t="s">
        <v>2733</v>
      </c>
      <c r="D402" s="1011" t="s">
        <v>1127</v>
      </c>
      <c r="E402" s="1011" t="s">
        <v>1593</v>
      </c>
      <c r="F402" s="1011" t="s">
        <v>1449</v>
      </c>
    </row>
    <row r="403" spans="1:6" x14ac:dyDescent="0.25">
      <c r="A403" s="1011">
        <v>44138477</v>
      </c>
      <c r="B403" s="1011" t="s">
        <v>2734</v>
      </c>
      <c r="C403" s="1011" t="s">
        <v>2735</v>
      </c>
      <c r="D403" s="1011" t="s">
        <v>1857</v>
      </c>
      <c r="E403" s="1011" t="s">
        <v>1593</v>
      </c>
      <c r="F403" s="1011" t="s">
        <v>1858</v>
      </c>
    </row>
    <row r="404" spans="1:6" x14ac:dyDescent="0.25">
      <c r="A404" s="1011">
        <v>84124353</v>
      </c>
      <c r="B404" s="1011" t="s">
        <v>2736</v>
      </c>
      <c r="C404" s="1011" t="s">
        <v>2737</v>
      </c>
      <c r="D404" s="1011" t="s">
        <v>1127</v>
      </c>
      <c r="E404" s="1011" t="s">
        <v>1593</v>
      </c>
      <c r="F404" s="1011" t="s">
        <v>1383</v>
      </c>
    </row>
    <row r="405" spans="1:6" x14ac:dyDescent="0.25">
      <c r="A405" s="1011">
        <v>24123481</v>
      </c>
      <c r="B405" s="1011" t="s">
        <v>2738</v>
      </c>
      <c r="C405" s="1011" t="s">
        <v>2739</v>
      </c>
      <c r="D405" s="1011" t="s">
        <v>1127</v>
      </c>
      <c r="E405" s="1011" t="s">
        <v>1593</v>
      </c>
      <c r="F405" s="1011" t="s">
        <v>1383</v>
      </c>
    </row>
    <row r="406" spans="1:6" x14ac:dyDescent="0.25">
      <c r="A406" s="1011">
        <v>34125989</v>
      </c>
      <c r="B406" s="1011" t="s">
        <v>2740</v>
      </c>
      <c r="C406" s="1011" t="s">
        <v>2741</v>
      </c>
      <c r="D406" s="1011" t="s">
        <v>2742</v>
      </c>
      <c r="E406" s="1011" t="s">
        <v>1588</v>
      </c>
      <c r="F406" s="1011" t="s">
        <v>2743</v>
      </c>
    </row>
    <row r="407" spans="1:6" x14ac:dyDescent="0.25">
      <c r="A407" s="1011">
        <v>74124710</v>
      </c>
      <c r="B407" s="1011" t="s">
        <v>2744</v>
      </c>
      <c r="C407" s="1011" t="s">
        <v>2615</v>
      </c>
      <c r="D407" s="1011" t="s">
        <v>1602</v>
      </c>
      <c r="E407" s="1011" t="s">
        <v>1593</v>
      </c>
      <c r="F407" s="1011" t="s">
        <v>1417</v>
      </c>
    </row>
    <row r="408" spans="1:6" x14ac:dyDescent="0.25">
      <c r="A408" s="1011">
        <v>64164809</v>
      </c>
      <c r="B408" s="1011" t="s">
        <v>2745</v>
      </c>
      <c r="C408" s="1011" t="s">
        <v>2746</v>
      </c>
      <c r="D408" s="1011" t="s">
        <v>1127</v>
      </c>
      <c r="E408" s="1011" t="s">
        <v>1593</v>
      </c>
      <c r="F408" s="1011" t="s">
        <v>1375</v>
      </c>
    </row>
    <row r="409" spans="1:6" x14ac:dyDescent="0.25">
      <c r="A409" s="1011">
        <v>24142770</v>
      </c>
      <c r="B409" s="1011" t="s">
        <v>2747</v>
      </c>
      <c r="C409" s="1011" t="s">
        <v>2270</v>
      </c>
      <c r="D409" s="1011" t="s">
        <v>2271</v>
      </c>
      <c r="E409" s="1011" t="s">
        <v>1583</v>
      </c>
      <c r="F409" s="1011" t="s">
        <v>2272</v>
      </c>
    </row>
    <row r="410" spans="1:6" x14ac:dyDescent="0.25">
      <c r="A410" s="1011">
        <v>14124226</v>
      </c>
      <c r="B410" s="1011" t="s">
        <v>2748</v>
      </c>
      <c r="C410" s="1011" t="s">
        <v>2749</v>
      </c>
      <c r="D410" s="1011" t="s">
        <v>1756</v>
      </c>
      <c r="E410" s="1011" t="s">
        <v>1593</v>
      </c>
      <c r="F410" s="1011" t="s">
        <v>1429</v>
      </c>
    </row>
    <row r="411" spans="1:6" x14ac:dyDescent="0.25">
      <c r="A411" s="1011">
        <v>4124277</v>
      </c>
      <c r="B411" s="1011" t="s">
        <v>2750</v>
      </c>
      <c r="C411" s="1011" t="s">
        <v>2751</v>
      </c>
      <c r="D411" s="1011" t="s">
        <v>2752</v>
      </c>
      <c r="E411" s="1011" t="s">
        <v>1593</v>
      </c>
      <c r="F411" s="1011" t="s">
        <v>2753</v>
      </c>
    </row>
    <row r="412" spans="1:6" x14ac:dyDescent="0.25">
      <c r="A412" s="1011">
        <v>44137123</v>
      </c>
      <c r="B412" s="1011" t="s">
        <v>2754</v>
      </c>
      <c r="C412" s="1011" t="s">
        <v>2755</v>
      </c>
      <c r="D412" s="1011" t="s">
        <v>2639</v>
      </c>
      <c r="E412" s="1011" t="s">
        <v>1588</v>
      </c>
      <c r="F412" s="1011" t="s">
        <v>2640</v>
      </c>
    </row>
    <row r="413" spans="1:6" x14ac:dyDescent="0.25">
      <c r="A413" s="1011">
        <v>84123694</v>
      </c>
      <c r="B413" s="1011" t="s">
        <v>2756</v>
      </c>
      <c r="C413" s="1011" t="s">
        <v>2757</v>
      </c>
      <c r="D413" s="1011" t="s">
        <v>2758</v>
      </c>
      <c r="E413" s="1011" t="s">
        <v>1593</v>
      </c>
      <c r="F413" s="1011" t="s">
        <v>1433</v>
      </c>
    </row>
    <row r="414" spans="1:6" x14ac:dyDescent="0.25">
      <c r="A414" s="1011">
        <v>74124231</v>
      </c>
      <c r="B414" s="1011" t="s">
        <v>2759</v>
      </c>
      <c r="C414" s="1011" t="s">
        <v>2760</v>
      </c>
      <c r="D414" s="1011" t="s">
        <v>2246</v>
      </c>
      <c r="E414" s="1011" t="s">
        <v>1593</v>
      </c>
      <c r="F414" s="1011" t="s">
        <v>1431</v>
      </c>
    </row>
    <row r="415" spans="1:6" x14ac:dyDescent="0.25">
      <c r="A415" s="1011">
        <v>44126001</v>
      </c>
      <c r="B415" s="1011" t="s">
        <v>2761</v>
      </c>
      <c r="C415" s="1011" t="s">
        <v>2762</v>
      </c>
      <c r="D415" s="1011" t="s">
        <v>1125</v>
      </c>
      <c r="E415" s="1011" t="s">
        <v>1588</v>
      </c>
      <c r="F415" s="1011" t="s">
        <v>1619</v>
      </c>
    </row>
    <row r="416" spans="1:6" x14ac:dyDescent="0.25">
      <c r="A416" s="1011">
        <v>64125552</v>
      </c>
      <c r="B416" s="1011" t="s">
        <v>2763</v>
      </c>
      <c r="C416" s="1011" t="s">
        <v>2764</v>
      </c>
      <c r="D416" s="1011" t="s">
        <v>2376</v>
      </c>
      <c r="E416" s="1011" t="s">
        <v>1588</v>
      </c>
      <c r="F416" s="1011" t="s">
        <v>2377</v>
      </c>
    </row>
    <row r="417" spans="1:6" x14ac:dyDescent="0.25">
      <c r="A417" s="1011">
        <v>4126082</v>
      </c>
      <c r="B417" s="1011" t="s">
        <v>2765</v>
      </c>
      <c r="C417" s="1011" t="s">
        <v>2766</v>
      </c>
      <c r="D417" s="1011" t="s">
        <v>1596</v>
      </c>
      <c r="E417" s="1011" t="s">
        <v>1593</v>
      </c>
      <c r="F417" s="1011" t="s">
        <v>1351</v>
      </c>
    </row>
    <row r="418" spans="1:6" x14ac:dyDescent="0.25">
      <c r="A418" s="1011">
        <v>14126007</v>
      </c>
      <c r="B418" s="1011" t="s">
        <v>2767</v>
      </c>
      <c r="C418" s="1011" t="s">
        <v>2768</v>
      </c>
      <c r="D418" s="1011" t="s">
        <v>2769</v>
      </c>
      <c r="E418" s="1011" t="s">
        <v>1588</v>
      </c>
      <c r="F418" s="1011" t="s">
        <v>2770</v>
      </c>
    </row>
    <row r="419" spans="1:6" x14ac:dyDescent="0.25">
      <c r="A419" s="1011">
        <v>24125940</v>
      </c>
      <c r="B419" s="1011" t="s">
        <v>2771</v>
      </c>
      <c r="C419" s="1011" t="s">
        <v>2772</v>
      </c>
      <c r="D419" s="1011" t="s">
        <v>76</v>
      </c>
      <c r="E419" s="1011" t="s">
        <v>1588</v>
      </c>
      <c r="F419" s="1011" t="s">
        <v>2773</v>
      </c>
    </row>
    <row r="420" spans="1:6" x14ac:dyDescent="0.25">
      <c r="A420" s="1011">
        <v>24125130</v>
      </c>
      <c r="B420" s="1011" t="s">
        <v>2774</v>
      </c>
      <c r="C420" s="1011" t="s">
        <v>2775</v>
      </c>
      <c r="D420" s="1011" t="s">
        <v>2776</v>
      </c>
      <c r="E420" s="1011" t="s">
        <v>1583</v>
      </c>
      <c r="F420" s="1011" t="s">
        <v>1343</v>
      </c>
    </row>
    <row r="421" spans="1:6" x14ac:dyDescent="0.25">
      <c r="A421" s="1011">
        <v>24125668</v>
      </c>
      <c r="B421" s="1011" t="s">
        <v>2777</v>
      </c>
      <c r="C421" s="1011" t="s">
        <v>2778</v>
      </c>
      <c r="D421" s="1011" t="s">
        <v>1644</v>
      </c>
      <c r="E421" s="1011" t="s">
        <v>1588</v>
      </c>
      <c r="F421" s="1011" t="s">
        <v>1645</v>
      </c>
    </row>
    <row r="422" spans="1:6" x14ac:dyDescent="0.25">
      <c r="A422" s="1011">
        <v>4125779</v>
      </c>
      <c r="B422" s="1011" t="s">
        <v>2779</v>
      </c>
      <c r="C422" s="1011" t="s">
        <v>2335</v>
      </c>
      <c r="D422" s="1011" t="s">
        <v>1756</v>
      </c>
      <c r="E422" s="1011" t="s">
        <v>1593</v>
      </c>
      <c r="F422" s="1011" t="s">
        <v>1429</v>
      </c>
    </row>
    <row r="423" spans="1:6" x14ac:dyDescent="0.25">
      <c r="A423" s="1011">
        <v>74125626</v>
      </c>
      <c r="B423" s="1011" t="s">
        <v>2780</v>
      </c>
      <c r="C423" s="1011" t="s">
        <v>2781</v>
      </c>
      <c r="D423" s="1011" t="s">
        <v>1125</v>
      </c>
      <c r="E423" s="1011" t="s">
        <v>1588</v>
      </c>
      <c r="F423" s="1011" t="s">
        <v>2782</v>
      </c>
    </row>
    <row r="424" spans="1:6" x14ac:dyDescent="0.25">
      <c r="A424" s="1011">
        <v>14125892</v>
      </c>
      <c r="B424" s="1011" t="s">
        <v>2783</v>
      </c>
      <c r="C424" s="1011" t="s">
        <v>2784</v>
      </c>
      <c r="D424" s="1011" t="s">
        <v>2785</v>
      </c>
      <c r="E424" s="1011" t="s">
        <v>1593</v>
      </c>
      <c r="F424" s="1011" t="s">
        <v>1351</v>
      </c>
    </row>
    <row r="425" spans="1:6" x14ac:dyDescent="0.25">
      <c r="A425" s="1011">
        <v>44123768</v>
      </c>
      <c r="B425" s="1011" t="s">
        <v>2786</v>
      </c>
      <c r="C425" s="1011" t="s">
        <v>2787</v>
      </c>
      <c r="D425" s="1011" t="s">
        <v>1808</v>
      </c>
      <c r="E425" s="1011" t="s">
        <v>1588</v>
      </c>
      <c r="F425" s="1011" t="s">
        <v>1809</v>
      </c>
    </row>
    <row r="426" spans="1:6" x14ac:dyDescent="0.25">
      <c r="A426" s="1011">
        <v>54123922</v>
      </c>
      <c r="B426" s="1011" t="s">
        <v>2788</v>
      </c>
      <c r="C426" s="1011" t="s">
        <v>2789</v>
      </c>
      <c r="D426" s="1011" t="s">
        <v>2790</v>
      </c>
      <c r="E426" s="1011" t="s">
        <v>1593</v>
      </c>
      <c r="F426" s="1011" t="s">
        <v>1387</v>
      </c>
    </row>
    <row r="427" spans="1:6" x14ac:dyDescent="0.25">
      <c r="A427" s="1011">
        <v>4124780</v>
      </c>
      <c r="B427" s="1011" t="s">
        <v>2791</v>
      </c>
      <c r="C427" s="1011" t="s">
        <v>2792</v>
      </c>
      <c r="D427" s="1011" t="s">
        <v>1888</v>
      </c>
      <c r="E427" s="1011" t="s">
        <v>1583</v>
      </c>
      <c r="F427" s="1011" t="s">
        <v>1889</v>
      </c>
    </row>
    <row r="428" spans="1:6" x14ac:dyDescent="0.25">
      <c r="A428" s="1011">
        <v>54125455</v>
      </c>
      <c r="B428" s="1011" t="s">
        <v>2793</v>
      </c>
      <c r="C428" s="1011" t="s">
        <v>2794</v>
      </c>
      <c r="D428" s="1011" t="s">
        <v>1819</v>
      </c>
      <c r="E428" s="1011" t="s">
        <v>1588</v>
      </c>
      <c r="F428" s="1011" t="s">
        <v>1820</v>
      </c>
    </row>
    <row r="429" spans="1:6" x14ac:dyDescent="0.25">
      <c r="A429" s="1011">
        <v>14153456</v>
      </c>
      <c r="B429" s="1011" t="s">
        <v>2795</v>
      </c>
      <c r="C429" s="1011" t="s">
        <v>2796</v>
      </c>
      <c r="D429" s="1011" t="s">
        <v>1127</v>
      </c>
      <c r="E429" s="1011" t="s">
        <v>1593</v>
      </c>
      <c r="F429" s="1011" t="s">
        <v>1383</v>
      </c>
    </row>
    <row r="430" spans="1:6" x14ac:dyDescent="0.25">
      <c r="A430" s="1011">
        <v>34123570</v>
      </c>
      <c r="B430" s="1011" t="s">
        <v>2797</v>
      </c>
      <c r="C430" s="1011" t="s">
        <v>2798</v>
      </c>
      <c r="D430" s="1011" t="s">
        <v>1127</v>
      </c>
      <c r="E430" s="1011" t="s">
        <v>1593</v>
      </c>
      <c r="F430" s="1011" t="s">
        <v>1445</v>
      </c>
    </row>
    <row r="431" spans="1:6" x14ac:dyDescent="0.25">
      <c r="A431" s="1011">
        <v>4128229</v>
      </c>
      <c r="B431" s="1011" t="s">
        <v>2799</v>
      </c>
      <c r="C431" s="1011" t="s">
        <v>2800</v>
      </c>
      <c r="D431" s="1011" t="s">
        <v>2801</v>
      </c>
      <c r="E431" s="1011" t="s">
        <v>1583</v>
      </c>
      <c r="F431" s="1011" t="s">
        <v>2802</v>
      </c>
    </row>
    <row r="432" spans="1:6" x14ac:dyDescent="0.25">
      <c r="A432" s="1011">
        <v>44123388</v>
      </c>
      <c r="B432" s="1011" t="s">
        <v>2803</v>
      </c>
      <c r="C432" s="1011" t="s">
        <v>2804</v>
      </c>
      <c r="D432" s="1011" t="s">
        <v>2465</v>
      </c>
      <c r="E432" s="1011" t="s">
        <v>1593</v>
      </c>
      <c r="F432" s="1011" t="s">
        <v>2466</v>
      </c>
    </row>
    <row r="433" spans="1:6" x14ac:dyDescent="0.25">
      <c r="A433" s="1011">
        <v>74124876</v>
      </c>
      <c r="B433" s="1011" t="s">
        <v>2805</v>
      </c>
      <c r="C433" s="1011" t="s">
        <v>2806</v>
      </c>
      <c r="D433" s="1011" t="s">
        <v>2807</v>
      </c>
      <c r="E433" s="1011" t="s">
        <v>1583</v>
      </c>
      <c r="F433" s="1011" t="s">
        <v>1337</v>
      </c>
    </row>
    <row r="434" spans="1:6" x14ac:dyDescent="0.25">
      <c r="A434" s="1011">
        <v>44124782</v>
      </c>
      <c r="B434" s="1011" t="s">
        <v>2808</v>
      </c>
      <c r="C434" s="1011" t="s">
        <v>2809</v>
      </c>
      <c r="D434" s="1011" t="s">
        <v>2202</v>
      </c>
      <c r="E434" s="1011" t="s">
        <v>1583</v>
      </c>
      <c r="F434" s="1011" t="s">
        <v>2203</v>
      </c>
    </row>
    <row r="435" spans="1:6" x14ac:dyDescent="0.25">
      <c r="A435" s="1011">
        <v>44180818</v>
      </c>
      <c r="B435" s="1011" t="s">
        <v>2810</v>
      </c>
      <c r="C435" s="1011" t="s">
        <v>2811</v>
      </c>
      <c r="D435" s="1011" t="s">
        <v>1698</v>
      </c>
      <c r="E435" s="1011" t="s">
        <v>1593</v>
      </c>
      <c r="F435" s="1011" t="s">
        <v>1699</v>
      </c>
    </row>
    <row r="436" spans="1:6" x14ac:dyDescent="0.25">
      <c r="A436" s="1011">
        <v>14123343</v>
      </c>
      <c r="B436" s="1011" t="s">
        <v>2812</v>
      </c>
      <c r="C436" s="1011" t="s">
        <v>2813</v>
      </c>
      <c r="D436" s="1011" t="s">
        <v>1675</v>
      </c>
      <c r="E436" s="1011" t="s">
        <v>1593</v>
      </c>
      <c r="F436" s="1011" t="s">
        <v>1676</v>
      </c>
    </row>
    <row r="437" spans="1:6" x14ac:dyDescent="0.25">
      <c r="A437" s="1011">
        <v>54163233</v>
      </c>
      <c r="B437" s="1011" t="s">
        <v>2814</v>
      </c>
      <c r="C437" s="1011" t="s">
        <v>2815</v>
      </c>
      <c r="D437" s="1011" t="s">
        <v>1909</v>
      </c>
      <c r="E437" s="1011" t="s">
        <v>1588</v>
      </c>
      <c r="F437" s="1011" t="s">
        <v>1910</v>
      </c>
    </row>
    <row r="438" spans="1:6" x14ac:dyDescent="0.25">
      <c r="A438" s="1011">
        <v>54125968</v>
      </c>
      <c r="B438" s="1011" t="s">
        <v>2816</v>
      </c>
      <c r="C438" s="1011" t="s">
        <v>2817</v>
      </c>
      <c r="D438" s="1011" t="s">
        <v>72</v>
      </c>
      <c r="E438" s="1011" t="s">
        <v>1612</v>
      </c>
      <c r="F438" s="1011" t="s">
        <v>2818</v>
      </c>
    </row>
    <row r="439" spans="1:6" x14ac:dyDescent="0.25">
      <c r="A439" s="1011">
        <v>44125573</v>
      </c>
      <c r="B439" s="1011" t="s">
        <v>2819</v>
      </c>
      <c r="C439" s="1011" t="s">
        <v>2820</v>
      </c>
      <c r="D439" s="1011" t="s">
        <v>2376</v>
      </c>
      <c r="E439" s="1011" t="s">
        <v>1588</v>
      </c>
      <c r="F439" s="1011" t="s">
        <v>2377</v>
      </c>
    </row>
    <row r="440" spans="1:6" x14ac:dyDescent="0.25">
      <c r="A440" s="1011">
        <v>44125565</v>
      </c>
      <c r="B440" s="1011" t="s">
        <v>2821</v>
      </c>
      <c r="C440" s="1011" t="s">
        <v>2822</v>
      </c>
      <c r="D440" s="1011" t="s">
        <v>1125</v>
      </c>
      <c r="E440" s="1011" t="s">
        <v>1588</v>
      </c>
      <c r="F440" s="1011" t="s">
        <v>1616</v>
      </c>
    </row>
    <row r="441" spans="1:6" x14ac:dyDescent="0.25">
      <c r="A441" s="1011">
        <v>44123917</v>
      </c>
      <c r="B441" s="1011" t="s">
        <v>2823</v>
      </c>
      <c r="C441" s="1011" t="s">
        <v>2824</v>
      </c>
      <c r="D441" s="1011" t="s">
        <v>2445</v>
      </c>
      <c r="E441" s="1011" t="s">
        <v>1593</v>
      </c>
      <c r="F441" s="1011" t="s">
        <v>2446</v>
      </c>
    </row>
    <row r="442" spans="1:6" x14ac:dyDescent="0.25">
      <c r="A442" s="1011">
        <v>94123973</v>
      </c>
      <c r="B442" s="1011" t="s">
        <v>2825</v>
      </c>
      <c r="C442" s="1011" t="s">
        <v>2826</v>
      </c>
      <c r="D442" s="1011" t="s">
        <v>1780</v>
      </c>
      <c r="E442" s="1011" t="s">
        <v>1593</v>
      </c>
      <c r="F442" s="1011" t="s">
        <v>1443</v>
      </c>
    </row>
    <row r="443" spans="1:6" x14ac:dyDescent="0.25">
      <c r="A443" s="1011">
        <v>44125821</v>
      </c>
      <c r="B443" s="1011" t="s">
        <v>2827</v>
      </c>
      <c r="C443" s="1011" t="s">
        <v>2828</v>
      </c>
      <c r="D443" s="1011" t="s">
        <v>72</v>
      </c>
      <c r="E443" s="1011" t="s">
        <v>1612</v>
      </c>
      <c r="F443" s="1011" t="s">
        <v>2829</v>
      </c>
    </row>
    <row r="444" spans="1:6" x14ac:dyDescent="0.25">
      <c r="A444" s="1011">
        <v>84125962</v>
      </c>
      <c r="B444" s="1011" t="s">
        <v>2830</v>
      </c>
      <c r="C444" s="1011" t="s">
        <v>2831</v>
      </c>
      <c r="D444" s="1011" t="s">
        <v>2832</v>
      </c>
      <c r="E444" s="1011" t="s">
        <v>1612</v>
      </c>
      <c r="F444" s="1011" t="s">
        <v>2833</v>
      </c>
    </row>
    <row r="445" spans="1:6" x14ac:dyDescent="0.25">
      <c r="A445" s="1011">
        <v>44123537</v>
      </c>
      <c r="B445" s="1011" t="s">
        <v>2834</v>
      </c>
      <c r="C445" s="1011" t="s">
        <v>2835</v>
      </c>
      <c r="D445" s="1011" t="s">
        <v>1127</v>
      </c>
      <c r="E445" s="1011" t="s">
        <v>1593</v>
      </c>
      <c r="F445" s="1011" t="s">
        <v>1449</v>
      </c>
    </row>
    <row r="446" spans="1:6" x14ac:dyDescent="0.25">
      <c r="A446" s="1011">
        <v>94125697</v>
      </c>
      <c r="B446" s="1011" t="s">
        <v>2836</v>
      </c>
      <c r="C446" s="1011" t="s">
        <v>2837</v>
      </c>
      <c r="D446" s="1011" t="s">
        <v>2838</v>
      </c>
      <c r="E446" s="1011" t="s">
        <v>1612</v>
      </c>
      <c r="F446" s="1011" t="s">
        <v>2839</v>
      </c>
    </row>
    <row r="447" spans="1:6" x14ac:dyDescent="0.25">
      <c r="A447" s="1011">
        <v>64124423</v>
      </c>
      <c r="B447" s="1011" t="s">
        <v>2840</v>
      </c>
      <c r="C447" s="1011" t="s">
        <v>1968</v>
      </c>
      <c r="D447" s="1011" t="s">
        <v>1969</v>
      </c>
      <c r="E447" s="1011" t="s">
        <v>1593</v>
      </c>
      <c r="F447" s="1011" t="s">
        <v>1970</v>
      </c>
    </row>
    <row r="448" spans="1:6" x14ac:dyDescent="0.25">
      <c r="A448" s="1011">
        <v>74254491</v>
      </c>
      <c r="B448" s="1011" t="s">
        <v>2841</v>
      </c>
      <c r="C448" s="1011" t="s">
        <v>2842</v>
      </c>
      <c r="D448" s="1011" t="s">
        <v>2613</v>
      </c>
      <c r="E448" s="1011" t="s">
        <v>1593</v>
      </c>
      <c r="F448" s="1011" t="s">
        <v>1447</v>
      </c>
    </row>
    <row r="449" spans="1:6" x14ac:dyDescent="0.25">
      <c r="A449" s="1011">
        <v>34124263</v>
      </c>
      <c r="B449" s="1011" t="s">
        <v>2843</v>
      </c>
      <c r="C449" s="1011" t="s">
        <v>2353</v>
      </c>
      <c r="D449" s="1011" t="s">
        <v>2844</v>
      </c>
      <c r="E449" s="1011" t="s">
        <v>1583</v>
      </c>
      <c r="F449" s="1011" t="s">
        <v>2845</v>
      </c>
    </row>
    <row r="450" spans="1:6" x14ac:dyDescent="0.25">
      <c r="A450" s="1011">
        <v>94125622</v>
      </c>
      <c r="B450" s="1011" t="s">
        <v>2846</v>
      </c>
      <c r="C450" s="1011" t="s">
        <v>2847</v>
      </c>
      <c r="D450" s="1011" t="s">
        <v>1895</v>
      </c>
      <c r="E450" s="1011" t="s">
        <v>1588</v>
      </c>
      <c r="F450" s="1011" t="s">
        <v>1896</v>
      </c>
    </row>
    <row r="451" spans="1:6" x14ac:dyDescent="0.25">
      <c r="A451" s="1011">
        <v>4160420</v>
      </c>
      <c r="B451" s="1011" t="s">
        <v>2848</v>
      </c>
      <c r="C451" s="1011" t="s">
        <v>2849</v>
      </c>
      <c r="D451" s="1011" t="s">
        <v>72</v>
      </c>
      <c r="E451" s="1011" t="s">
        <v>1612</v>
      </c>
      <c r="F451" s="1011" t="s">
        <v>2850</v>
      </c>
    </row>
    <row r="452" spans="1:6" x14ac:dyDescent="0.25">
      <c r="A452" s="1011">
        <v>24124612</v>
      </c>
      <c r="B452" s="1011" t="s">
        <v>2851</v>
      </c>
      <c r="C452" s="1011" t="s">
        <v>2852</v>
      </c>
      <c r="D452" s="1011" t="s">
        <v>2853</v>
      </c>
      <c r="E452" s="1011" t="s">
        <v>1583</v>
      </c>
      <c r="F452" s="1011" t="s">
        <v>2854</v>
      </c>
    </row>
    <row r="453" spans="1:6" x14ac:dyDescent="0.25">
      <c r="A453" s="1011">
        <v>64169402</v>
      </c>
      <c r="B453" s="1011" t="s">
        <v>2855</v>
      </c>
      <c r="C453" s="1011" t="s">
        <v>2856</v>
      </c>
      <c r="D453" s="1011" t="s">
        <v>2539</v>
      </c>
      <c r="E453" s="1011" t="s">
        <v>1593</v>
      </c>
      <c r="F453" s="1011" t="s">
        <v>2540</v>
      </c>
    </row>
    <row r="454" spans="1:6" x14ac:dyDescent="0.25">
      <c r="A454" s="1011">
        <v>24124588</v>
      </c>
      <c r="B454" s="1011" t="s">
        <v>2857</v>
      </c>
      <c r="C454" s="1011" t="s">
        <v>2858</v>
      </c>
      <c r="D454" s="1011" t="s">
        <v>1127</v>
      </c>
      <c r="E454" s="1011" t="s">
        <v>1593</v>
      </c>
      <c r="F454" s="1011" t="s">
        <v>1445</v>
      </c>
    </row>
    <row r="455" spans="1:6" x14ac:dyDescent="0.25">
      <c r="A455" s="1011">
        <v>74123829</v>
      </c>
      <c r="B455" s="1011" t="s">
        <v>2859</v>
      </c>
      <c r="C455" s="1011" t="s">
        <v>2860</v>
      </c>
      <c r="D455" s="1011" t="s">
        <v>1685</v>
      </c>
      <c r="E455" s="1011" t="s">
        <v>1593</v>
      </c>
      <c r="F455" s="1011" t="s">
        <v>1469</v>
      </c>
    </row>
    <row r="456" spans="1:6" x14ac:dyDescent="0.25">
      <c r="A456" s="1011">
        <v>94125259</v>
      </c>
      <c r="B456" s="1011" t="s">
        <v>2861</v>
      </c>
      <c r="C456" s="1011" t="s">
        <v>2862</v>
      </c>
      <c r="D456" s="1011" t="s">
        <v>2515</v>
      </c>
      <c r="E456" s="1011" t="s">
        <v>1588</v>
      </c>
      <c r="F456" s="1011" t="s">
        <v>2516</v>
      </c>
    </row>
    <row r="457" spans="1:6" x14ac:dyDescent="0.25">
      <c r="A457" s="1011">
        <v>14125819</v>
      </c>
      <c r="B457" s="1011" t="s">
        <v>2863</v>
      </c>
      <c r="C457" s="1011" t="s">
        <v>2864</v>
      </c>
      <c r="D457" s="1011" t="s">
        <v>2865</v>
      </c>
      <c r="E457" s="1011" t="s">
        <v>1588</v>
      </c>
      <c r="F457" s="1011" t="s">
        <v>2866</v>
      </c>
    </row>
    <row r="458" spans="1:6" x14ac:dyDescent="0.25">
      <c r="A458" s="1011">
        <v>24123838</v>
      </c>
      <c r="B458" s="1011" t="s">
        <v>2867</v>
      </c>
      <c r="C458" s="1011" t="s">
        <v>2868</v>
      </c>
      <c r="D458" s="1011" t="s">
        <v>1127</v>
      </c>
      <c r="E458" s="1011" t="s">
        <v>1593</v>
      </c>
      <c r="F458" s="1011" t="s">
        <v>1383</v>
      </c>
    </row>
    <row r="459" spans="1:6" x14ac:dyDescent="0.25">
      <c r="A459" s="1011">
        <v>4146270</v>
      </c>
      <c r="B459" s="1011" t="s">
        <v>2869</v>
      </c>
      <c r="C459" s="1011" t="s">
        <v>2870</v>
      </c>
      <c r="D459" s="1011" t="s">
        <v>2871</v>
      </c>
      <c r="E459" s="1011" t="s">
        <v>1588</v>
      </c>
      <c r="F459" s="1011" t="s">
        <v>2872</v>
      </c>
    </row>
    <row r="460" spans="1:6" x14ac:dyDescent="0.25">
      <c r="A460" s="1011">
        <v>84126051</v>
      </c>
      <c r="B460" s="1011" t="s">
        <v>2873</v>
      </c>
      <c r="C460" s="1011" t="s">
        <v>2874</v>
      </c>
      <c r="D460" s="1011" t="s">
        <v>72</v>
      </c>
      <c r="E460" s="1011" t="s">
        <v>1612</v>
      </c>
      <c r="F460" s="1011" t="s">
        <v>2569</v>
      </c>
    </row>
    <row r="461" spans="1:6" x14ac:dyDescent="0.25">
      <c r="A461" s="1011">
        <v>34182683</v>
      </c>
      <c r="B461" s="1011" t="s">
        <v>2875</v>
      </c>
      <c r="C461" s="1011" t="s">
        <v>2876</v>
      </c>
      <c r="D461" s="1011" t="s">
        <v>2332</v>
      </c>
      <c r="E461" s="1011" t="s">
        <v>1583</v>
      </c>
      <c r="F461" s="1011" t="s">
        <v>2333</v>
      </c>
    </row>
    <row r="462" spans="1:6" x14ac:dyDescent="0.25">
      <c r="A462" s="1011">
        <v>54124524</v>
      </c>
      <c r="B462" s="1011" t="s">
        <v>2877</v>
      </c>
      <c r="C462" s="1011" t="s">
        <v>2878</v>
      </c>
      <c r="D462" s="1011" t="s">
        <v>1582</v>
      </c>
      <c r="E462" s="1011" t="s">
        <v>1583</v>
      </c>
      <c r="F462" s="1011" t="s">
        <v>1584</v>
      </c>
    </row>
    <row r="463" spans="1:6" x14ac:dyDescent="0.25">
      <c r="A463" s="1011">
        <v>4162285</v>
      </c>
      <c r="B463" s="1011" t="s">
        <v>2879</v>
      </c>
      <c r="C463" s="1011" t="s">
        <v>2880</v>
      </c>
      <c r="D463" s="1011" t="s">
        <v>1728</v>
      </c>
      <c r="E463" s="1011" t="s">
        <v>1593</v>
      </c>
      <c r="F463" s="1011" t="s">
        <v>1729</v>
      </c>
    </row>
    <row r="464" spans="1:6" x14ac:dyDescent="0.25">
      <c r="A464" s="1011">
        <v>84126028</v>
      </c>
      <c r="B464" s="1011" t="s">
        <v>2881</v>
      </c>
      <c r="C464" s="1011" t="s">
        <v>2882</v>
      </c>
      <c r="D464" s="1011" t="s">
        <v>2883</v>
      </c>
      <c r="E464" s="1011" t="s">
        <v>1588</v>
      </c>
      <c r="F464" s="1011" t="s">
        <v>2884</v>
      </c>
    </row>
    <row r="465" spans="1:6" x14ac:dyDescent="0.25">
      <c r="A465" s="1011">
        <v>34126037</v>
      </c>
      <c r="B465" s="1011" t="s">
        <v>2885</v>
      </c>
      <c r="C465" s="1011" t="s">
        <v>2886</v>
      </c>
      <c r="D465" s="1011" t="s">
        <v>1125</v>
      </c>
      <c r="E465" s="1011" t="s">
        <v>1588</v>
      </c>
      <c r="F465" s="1011" t="s">
        <v>1616</v>
      </c>
    </row>
    <row r="466" spans="1:6" x14ac:dyDescent="0.25">
      <c r="A466" s="1011">
        <v>64124589</v>
      </c>
      <c r="B466" s="1011" t="s">
        <v>2887</v>
      </c>
      <c r="C466" s="1011" t="s">
        <v>2888</v>
      </c>
      <c r="D466" s="1011" t="s">
        <v>2539</v>
      </c>
      <c r="E466" s="1011" t="s">
        <v>1593</v>
      </c>
      <c r="F466" s="1011" t="s">
        <v>2540</v>
      </c>
    </row>
    <row r="467" spans="1:6" x14ac:dyDescent="0.25">
      <c r="A467" s="1011">
        <v>94163896</v>
      </c>
      <c r="B467" s="1011" t="s">
        <v>2889</v>
      </c>
      <c r="C467" s="1011" t="s">
        <v>2890</v>
      </c>
      <c r="D467" s="1011" t="s">
        <v>72</v>
      </c>
      <c r="E467" s="1011" t="s">
        <v>1612</v>
      </c>
      <c r="F467" s="1011" t="s">
        <v>1749</v>
      </c>
    </row>
    <row r="468" spans="1:6" x14ac:dyDescent="0.25">
      <c r="A468" s="1011">
        <v>94165594</v>
      </c>
      <c r="B468" s="1011" t="s">
        <v>2891</v>
      </c>
      <c r="C468" s="1011" t="s">
        <v>2892</v>
      </c>
      <c r="D468" s="1011" t="s">
        <v>2776</v>
      </c>
      <c r="E468" s="1011" t="s">
        <v>1583</v>
      </c>
      <c r="F468" s="1011" t="s">
        <v>1343</v>
      </c>
    </row>
    <row r="469" spans="1:6" x14ac:dyDescent="0.25">
      <c r="A469" s="1011">
        <v>84123975</v>
      </c>
      <c r="B469" s="1011" t="s">
        <v>2893</v>
      </c>
      <c r="C469" s="1011" t="s">
        <v>2894</v>
      </c>
      <c r="D469" s="1011" t="s">
        <v>1127</v>
      </c>
      <c r="E469" s="1011" t="s">
        <v>1593</v>
      </c>
      <c r="F469" s="1011" t="s">
        <v>1445</v>
      </c>
    </row>
    <row r="470" spans="1:6" x14ac:dyDescent="0.25">
      <c r="A470" s="1011">
        <v>44125474</v>
      </c>
      <c r="B470" s="1011" t="s">
        <v>2895</v>
      </c>
      <c r="C470" s="1011" t="s">
        <v>2896</v>
      </c>
      <c r="D470" s="1011" t="s">
        <v>2897</v>
      </c>
      <c r="E470" s="1011" t="s">
        <v>1612</v>
      </c>
      <c r="F470" s="1011" t="s">
        <v>2898</v>
      </c>
    </row>
    <row r="471" spans="1:6" x14ac:dyDescent="0.25">
      <c r="A471" s="1011">
        <v>4125811</v>
      </c>
      <c r="B471" s="1011" t="s">
        <v>2899</v>
      </c>
      <c r="C471" s="1011" t="s">
        <v>2900</v>
      </c>
      <c r="D471" s="1011" t="s">
        <v>1767</v>
      </c>
      <c r="E471" s="1011" t="s">
        <v>1593</v>
      </c>
      <c r="F471" s="1011" t="s">
        <v>1419</v>
      </c>
    </row>
    <row r="472" spans="1:6" x14ac:dyDescent="0.25">
      <c r="A472" s="1011">
        <v>94125929</v>
      </c>
      <c r="B472" s="1011" t="s">
        <v>2901</v>
      </c>
      <c r="C472" s="1011" t="s">
        <v>2902</v>
      </c>
      <c r="D472" s="1011" t="s">
        <v>65</v>
      </c>
      <c r="E472" s="1011" t="s">
        <v>1612</v>
      </c>
      <c r="F472" s="1011" t="s">
        <v>1746</v>
      </c>
    </row>
    <row r="473" spans="1:6" x14ac:dyDescent="0.25">
      <c r="A473" s="1011">
        <v>74126095</v>
      </c>
      <c r="B473" s="1011" t="s">
        <v>2903</v>
      </c>
      <c r="C473" s="1011" t="s">
        <v>2904</v>
      </c>
      <c r="D473" s="1011" t="s">
        <v>1987</v>
      </c>
      <c r="E473" s="1011" t="s">
        <v>1588</v>
      </c>
      <c r="F473" s="1011" t="s">
        <v>1988</v>
      </c>
    </row>
    <row r="474" spans="1:6" x14ac:dyDescent="0.25">
      <c r="A474" s="1011">
        <v>24125601</v>
      </c>
      <c r="B474" s="1011" t="s">
        <v>2905</v>
      </c>
      <c r="C474" s="1011" t="s">
        <v>2906</v>
      </c>
      <c r="D474" s="1011" t="s">
        <v>72</v>
      </c>
      <c r="E474" s="1011" t="s">
        <v>1612</v>
      </c>
      <c r="F474" s="1011" t="s">
        <v>2850</v>
      </c>
    </row>
    <row r="475" spans="1:6" x14ac:dyDescent="0.25">
      <c r="A475" s="1011">
        <v>44124014</v>
      </c>
      <c r="B475" s="1011" t="s">
        <v>2907</v>
      </c>
      <c r="C475" s="1011" t="s">
        <v>2908</v>
      </c>
      <c r="D475" s="1011" t="s">
        <v>2251</v>
      </c>
      <c r="E475" s="1011" t="s">
        <v>1593</v>
      </c>
      <c r="F475" s="1011" t="s">
        <v>2252</v>
      </c>
    </row>
    <row r="476" spans="1:6" x14ac:dyDescent="0.25">
      <c r="A476" s="1011">
        <v>44124311</v>
      </c>
      <c r="B476" s="1011" t="s">
        <v>2909</v>
      </c>
      <c r="C476" s="1011" t="s">
        <v>2506</v>
      </c>
      <c r="D476" s="1011" t="s">
        <v>1725</v>
      </c>
      <c r="E476" s="1011" t="s">
        <v>1593</v>
      </c>
      <c r="F476" s="1011" t="s">
        <v>1413</v>
      </c>
    </row>
    <row r="477" spans="1:6" x14ac:dyDescent="0.25">
      <c r="A477" s="1011">
        <v>64125230</v>
      </c>
      <c r="B477" s="1011" t="s">
        <v>2910</v>
      </c>
      <c r="C477" s="1011" t="s">
        <v>2911</v>
      </c>
      <c r="D477" s="1011" t="s">
        <v>1125</v>
      </c>
      <c r="E477" s="1011" t="s">
        <v>1588</v>
      </c>
      <c r="F477" s="1011" t="s">
        <v>1421</v>
      </c>
    </row>
    <row r="478" spans="1:6" x14ac:dyDescent="0.25">
      <c r="A478" s="1011">
        <v>94124054</v>
      </c>
      <c r="B478" s="1011" t="s">
        <v>2912</v>
      </c>
      <c r="C478" s="1011" t="s">
        <v>2913</v>
      </c>
      <c r="D478" s="1011" t="s">
        <v>2678</v>
      </c>
      <c r="E478" s="1011" t="s">
        <v>1593</v>
      </c>
      <c r="F478" s="1011" t="s">
        <v>2679</v>
      </c>
    </row>
    <row r="479" spans="1:6" x14ac:dyDescent="0.25">
      <c r="A479" s="1011">
        <v>54220090</v>
      </c>
      <c r="B479" s="1011" t="s">
        <v>2914</v>
      </c>
      <c r="C479" s="1011" t="s">
        <v>2915</v>
      </c>
      <c r="D479" s="1011" t="s">
        <v>2246</v>
      </c>
      <c r="E479" s="1011" t="s">
        <v>1593</v>
      </c>
      <c r="F479" s="1011" t="s">
        <v>1431</v>
      </c>
    </row>
    <row r="480" spans="1:6" x14ac:dyDescent="0.25">
      <c r="A480" s="1011">
        <v>94139771</v>
      </c>
      <c r="B480" s="1011" t="s">
        <v>2916</v>
      </c>
      <c r="C480" s="1011" t="s">
        <v>2917</v>
      </c>
      <c r="D480" s="1011" t="s">
        <v>1931</v>
      </c>
      <c r="E480" s="1011" t="s">
        <v>1588</v>
      </c>
      <c r="F480" s="1011" t="s">
        <v>1932</v>
      </c>
    </row>
    <row r="481" spans="1:6" x14ac:dyDescent="0.25">
      <c r="A481" s="1011">
        <v>64125784</v>
      </c>
      <c r="B481" s="1011" t="s">
        <v>2918</v>
      </c>
      <c r="C481" s="1011" t="s">
        <v>2772</v>
      </c>
      <c r="D481" s="1011" t="s">
        <v>76</v>
      </c>
      <c r="E481" s="1011" t="s">
        <v>1588</v>
      </c>
      <c r="F481" s="1011" t="s">
        <v>2773</v>
      </c>
    </row>
    <row r="482" spans="1:6" x14ac:dyDescent="0.25">
      <c r="A482" s="1011">
        <v>84125756</v>
      </c>
      <c r="B482" s="1011" t="s">
        <v>2919</v>
      </c>
      <c r="C482" s="1011" t="s">
        <v>2920</v>
      </c>
      <c r="D482" s="1011" t="s">
        <v>2313</v>
      </c>
      <c r="E482" s="1011" t="s">
        <v>1588</v>
      </c>
      <c r="F482" s="1011" t="s">
        <v>1347</v>
      </c>
    </row>
    <row r="483" spans="1:6" x14ac:dyDescent="0.25">
      <c r="A483" s="1011">
        <v>13811138</v>
      </c>
      <c r="B483" s="1011" t="s">
        <v>2921</v>
      </c>
      <c r="C483" s="1011" t="s">
        <v>2922</v>
      </c>
      <c r="D483" s="1011" t="s">
        <v>2923</v>
      </c>
      <c r="E483" s="1011" t="s">
        <v>1583</v>
      </c>
      <c r="F483" s="1011" t="s">
        <v>2924</v>
      </c>
    </row>
    <row r="484" spans="1:6" x14ac:dyDescent="0.25">
      <c r="A484" s="1011">
        <v>94125317</v>
      </c>
      <c r="B484" s="1011" t="s">
        <v>2925</v>
      </c>
      <c r="C484" s="1011" t="s">
        <v>2926</v>
      </c>
      <c r="D484" s="1011" t="s">
        <v>1804</v>
      </c>
      <c r="E484" s="1011" t="s">
        <v>1588</v>
      </c>
      <c r="F484" s="1011" t="s">
        <v>1805</v>
      </c>
    </row>
    <row r="485" spans="1:6" x14ac:dyDescent="0.25">
      <c r="A485" s="1011">
        <v>14125827</v>
      </c>
      <c r="B485" s="1011" t="s">
        <v>2927</v>
      </c>
      <c r="C485" s="1011" t="s">
        <v>2928</v>
      </c>
      <c r="D485" s="1011" t="s">
        <v>2228</v>
      </c>
      <c r="E485" s="1011" t="s">
        <v>1588</v>
      </c>
      <c r="F485" s="1011" t="s">
        <v>2229</v>
      </c>
    </row>
    <row r="486" spans="1:6" x14ac:dyDescent="0.25">
      <c r="A486" s="1011">
        <v>24163156</v>
      </c>
      <c r="B486" s="1011" t="s">
        <v>2929</v>
      </c>
      <c r="C486" s="1011" t="s">
        <v>2930</v>
      </c>
      <c r="D486" s="1011" t="s">
        <v>1812</v>
      </c>
      <c r="E486" s="1011" t="s">
        <v>1593</v>
      </c>
      <c r="F486" s="1011" t="s">
        <v>1385</v>
      </c>
    </row>
    <row r="487" spans="1:6" x14ac:dyDescent="0.25">
      <c r="A487" s="1011">
        <v>4242806</v>
      </c>
      <c r="B487" s="1011" t="s">
        <v>2931</v>
      </c>
      <c r="C487" s="1011" t="s">
        <v>2932</v>
      </c>
      <c r="D487" s="1011" t="s">
        <v>1125</v>
      </c>
      <c r="E487" s="1011" t="s">
        <v>1588</v>
      </c>
      <c r="F487" s="1011" t="s">
        <v>1361</v>
      </c>
    </row>
    <row r="488" spans="1:6" x14ac:dyDescent="0.25">
      <c r="A488" s="1011">
        <v>74123936</v>
      </c>
      <c r="B488" s="1011" t="s">
        <v>2933</v>
      </c>
      <c r="C488" s="1011" t="s">
        <v>2934</v>
      </c>
      <c r="D488" s="1011" t="s">
        <v>2935</v>
      </c>
      <c r="E488" s="1011" t="s">
        <v>1593</v>
      </c>
      <c r="F488" s="1011" t="s">
        <v>2936</v>
      </c>
    </row>
    <row r="489" spans="1:6" x14ac:dyDescent="0.25">
      <c r="A489" s="1011">
        <v>44125359</v>
      </c>
      <c r="B489" s="1011" t="s">
        <v>2937</v>
      </c>
      <c r="C489" s="1011" t="s">
        <v>2938</v>
      </c>
      <c r="D489" s="1011" t="s">
        <v>72</v>
      </c>
      <c r="E489" s="1011" t="s">
        <v>1612</v>
      </c>
      <c r="F489" s="1011" t="s">
        <v>2939</v>
      </c>
    </row>
    <row r="490" spans="1:6" x14ac:dyDescent="0.25">
      <c r="A490" s="1011">
        <v>84123876</v>
      </c>
      <c r="B490" s="1011" t="s">
        <v>2940</v>
      </c>
      <c r="C490" s="1011" t="s">
        <v>2941</v>
      </c>
      <c r="D490" s="1011" t="s">
        <v>1812</v>
      </c>
      <c r="E490" s="1011" t="s">
        <v>1593</v>
      </c>
      <c r="F490" s="1011" t="s">
        <v>1385</v>
      </c>
    </row>
    <row r="491" spans="1:6" x14ac:dyDescent="0.25">
      <c r="A491" s="1011">
        <v>54125893</v>
      </c>
      <c r="B491" s="1011" t="s">
        <v>2942</v>
      </c>
      <c r="C491" s="1011" t="s">
        <v>2943</v>
      </c>
      <c r="D491" s="1011" t="s">
        <v>1125</v>
      </c>
      <c r="E491" s="1011" t="s">
        <v>1588</v>
      </c>
      <c r="F491" s="1011" t="s">
        <v>2944</v>
      </c>
    </row>
    <row r="492" spans="1:6" x14ac:dyDescent="0.25">
      <c r="A492" s="1011">
        <v>44123339</v>
      </c>
      <c r="B492" s="1011" t="s">
        <v>2945</v>
      </c>
      <c r="C492" s="1011" t="s">
        <v>2946</v>
      </c>
      <c r="D492" s="1011" t="s">
        <v>2947</v>
      </c>
      <c r="E492" s="1011" t="s">
        <v>1593</v>
      </c>
      <c r="F492" s="1011" t="s">
        <v>2948</v>
      </c>
    </row>
    <row r="493" spans="1:6" x14ac:dyDescent="0.25">
      <c r="A493" s="1011">
        <v>94126059</v>
      </c>
      <c r="B493" s="1011" t="s">
        <v>2949</v>
      </c>
      <c r="C493" s="1011" t="s">
        <v>2950</v>
      </c>
      <c r="D493" s="1011" t="s">
        <v>1664</v>
      </c>
      <c r="E493" s="1011" t="s">
        <v>1588</v>
      </c>
      <c r="F493" s="1011" t="s">
        <v>1665</v>
      </c>
    </row>
    <row r="494" spans="1:6" x14ac:dyDescent="0.25">
      <c r="A494" s="1011">
        <v>74133414</v>
      </c>
      <c r="B494" s="1011" t="s">
        <v>2951</v>
      </c>
      <c r="C494" s="1011" t="s">
        <v>2952</v>
      </c>
      <c r="D494" s="1011" t="s">
        <v>1685</v>
      </c>
      <c r="E494" s="1011" t="s">
        <v>1593</v>
      </c>
      <c r="F494" s="1011" t="s">
        <v>1469</v>
      </c>
    </row>
    <row r="495" spans="1:6" x14ac:dyDescent="0.25">
      <c r="A495" s="1011">
        <v>54125943</v>
      </c>
      <c r="B495" s="1011" t="s">
        <v>2953</v>
      </c>
      <c r="C495" s="1011" t="s">
        <v>2954</v>
      </c>
      <c r="D495" s="1011" t="s">
        <v>2871</v>
      </c>
      <c r="E495" s="1011" t="s">
        <v>1588</v>
      </c>
      <c r="F495" s="1011" t="s">
        <v>2872</v>
      </c>
    </row>
    <row r="496" spans="1:6" x14ac:dyDescent="0.25">
      <c r="A496" s="1011">
        <v>14167738</v>
      </c>
      <c r="B496" s="1011" t="s">
        <v>2955</v>
      </c>
      <c r="C496" s="1011" t="s">
        <v>2956</v>
      </c>
      <c r="D496" s="1011" t="s">
        <v>1602</v>
      </c>
      <c r="E496" s="1011" t="s">
        <v>1583</v>
      </c>
      <c r="F496" s="1011" t="s">
        <v>1457</v>
      </c>
    </row>
    <row r="497" spans="1:6" x14ac:dyDescent="0.25">
      <c r="A497" s="1011">
        <v>44125920</v>
      </c>
      <c r="B497" s="1011" t="s">
        <v>2957</v>
      </c>
      <c r="C497" s="1011" t="s">
        <v>2958</v>
      </c>
      <c r="D497" s="1011" t="s">
        <v>2769</v>
      </c>
      <c r="E497" s="1011" t="s">
        <v>1588</v>
      </c>
      <c r="F497" s="1011" t="s">
        <v>2770</v>
      </c>
    </row>
    <row r="498" spans="1:6" x14ac:dyDescent="0.25">
      <c r="A498" s="1011">
        <v>34033316</v>
      </c>
      <c r="B498" s="1011" t="s">
        <v>2959</v>
      </c>
      <c r="C498" s="1011" t="s">
        <v>2960</v>
      </c>
      <c r="D498" s="1011" t="s">
        <v>2224</v>
      </c>
      <c r="E498" s="1011" t="s">
        <v>1593</v>
      </c>
      <c r="F498" s="1011" t="s">
        <v>2225</v>
      </c>
    </row>
    <row r="499" spans="1:6" x14ac:dyDescent="0.25">
      <c r="A499" s="1011">
        <v>54125844</v>
      </c>
      <c r="B499" s="1011" t="s">
        <v>2961</v>
      </c>
      <c r="C499" s="1011" t="s">
        <v>2962</v>
      </c>
      <c r="D499" s="1011" t="s">
        <v>2963</v>
      </c>
      <c r="E499" s="1011" t="s">
        <v>1588</v>
      </c>
      <c r="F499" s="1011" t="s">
        <v>2964</v>
      </c>
    </row>
    <row r="500" spans="1:6" x14ac:dyDescent="0.25">
      <c r="A500" s="1011">
        <v>34123513</v>
      </c>
      <c r="B500" s="1011" t="s">
        <v>2965</v>
      </c>
      <c r="C500" s="1011" t="s">
        <v>2966</v>
      </c>
      <c r="D500" s="1011" t="s">
        <v>1127</v>
      </c>
      <c r="E500" s="1011" t="s">
        <v>1593</v>
      </c>
      <c r="F500" s="1011" t="s">
        <v>1375</v>
      </c>
    </row>
    <row r="501" spans="1:6" x14ac:dyDescent="0.25">
      <c r="A501" s="1011">
        <v>44124584</v>
      </c>
      <c r="B501" s="1011" t="s">
        <v>2967</v>
      </c>
      <c r="C501" s="1011" t="s">
        <v>2968</v>
      </c>
      <c r="D501" s="1011" t="s">
        <v>2969</v>
      </c>
      <c r="E501" s="1011" t="s">
        <v>1583</v>
      </c>
      <c r="F501" s="1011" t="s">
        <v>1451</v>
      </c>
    </row>
    <row r="502" spans="1:6" x14ac:dyDescent="0.25">
      <c r="A502" s="1011">
        <v>84123942</v>
      </c>
      <c r="B502" s="1011" t="s">
        <v>2970</v>
      </c>
      <c r="C502" s="1011" t="s">
        <v>2971</v>
      </c>
      <c r="D502" s="1011" t="s">
        <v>2539</v>
      </c>
      <c r="E502" s="1011" t="s">
        <v>1593</v>
      </c>
      <c r="F502" s="1011" t="s">
        <v>2540</v>
      </c>
    </row>
    <row r="503" spans="1:6" x14ac:dyDescent="0.25">
      <c r="A503" s="1011">
        <v>24129884</v>
      </c>
      <c r="B503" s="1011" t="s">
        <v>2972</v>
      </c>
      <c r="C503" s="1011" t="s">
        <v>2973</v>
      </c>
      <c r="D503" s="1011" t="s">
        <v>2974</v>
      </c>
      <c r="E503" s="1011" t="s">
        <v>1593</v>
      </c>
      <c r="F503" s="1011" t="s">
        <v>1389</v>
      </c>
    </row>
    <row r="504" spans="1:6" x14ac:dyDescent="0.25">
      <c r="A504" s="1011">
        <v>14125074</v>
      </c>
      <c r="B504" s="1011" t="s">
        <v>2975</v>
      </c>
      <c r="C504" s="1011" t="s">
        <v>2976</v>
      </c>
      <c r="D504" s="1011" t="s">
        <v>1892</v>
      </c>
      <c r="E504" s="1011" t="s">
        <v>1583</v>
      </c>
      <c r="F504" s="1011" t="s">
        <v>1371</v>
      </c>
    </row>
    <row r="505" spans="1:6" x14ac:dyDescent="0.25">
      <c r="A505" s="1011">
        <v>24151169</v>
      </c>
      <c r="B505" s="1011" t="s">
        <v>2977</v>
      </c>
      <c r="C505" s="1011" t="s">
        <v>2978</v>
      </c>
      <c r="D505" s="1011" t="s">
        <v>2011</v>
      </c>
      <c r="E505" s="1011" t="s">
        <v>1588</v>
      </c>
      <c r="F505" s="1011" t="s">
        <v>2012</v>
      </c>
    </row>
    <row r="506" spans="1:6" x14ac:dyDescent="0.25">
      <c r="A506" s="1011">
        <v>84124338</v>
      </c>
      <c r="B506" s="1011" t="s">
        <v>2979</v>
      </c>
      <c r="C506" s="1011" t="s">
        <v>2980</v>
      </c>
      <c r="D506" s="1011" t="s">
        <v>1127</v>
      </c>
      <c r="E506" s="1011" t="s">
        <v>1593</v>
      </c>
      <c r="F506" s="1011" t="s">
        <v>1383</v>
      </c>
    </row>
    <row r="507" spans="1:6" x14ac:dyDescent="0.25">
      <c r="A507" s="1011">
        <v>54233515</v>
      </c>
      <c r="B507" s="1011" t="s">
        <v>2981</v>
      </c>
      <c r="C507" s="1011" t="s">
        <v>2982</v>
      </c>
      <c r="D507" s="1011" t="s">
        <v>1780</v>
      </c>
      <c r="E507" s="1011" t="s">
        <v>1593</v>
      </c>
      <c r="F507" s="1011" t="s">
        <v>1443</v>
      </c>
    </row>
    <row r="508" spans="1:6" x14ac:dyDescent="0.25">
      <c r="A508" s="1011">
        <v>34124479</v>
      </c>
      <c r="B508" s="1011" t="s">
        <v>2983</v>
      </c>
      <c r="C508" s="1011" t="s">
        <v>2984</v>
      </c>
      <c r="D508" s="1011" t="s">
        <v>2985</v>
      </c>
      <c r="E508" s="1011" t="s">
        <v>1593</v>
      </c>
      <c r="F508" s="1011" t="s">
        <v>2986</v>
      </c>
    </row>
    <row r="509" spans="1:6" x14ac:dyDescent="0.25">
      <c r="A509" s="1011">
        <v>44125946</v>
      </c>
      <c r="B509" s="1011" t="s">
        <v>2987</v>
      </c>
      <c r="C509" s="1011" t="s">
        <v>2988</v>
      </c>
      <c r="D509" s="1011" t="s">
        <v>72</v>
      </c>
      <c r="E509" s="1011" t="s">
        <v>1612</v>
      </c>
      <c r="F509" s="1011" t="s">
        <v>2111</v>
      </c>
    </row>
    <row r="510" spans="1:6" x14ac:dyDescent="0.25">
      <c r="A510" s="1011">
        <v>34125526</v>
      </c>
      <c r="B510" s="1011" t="s">
        <v>2989</v>
      </c>
      <c r="C510" s="1011" t="s">
        <v>2990</v>
      </c>
      <c r="D510" s="1011" t="s">
        <v>2394</v>
      </c>
      <c r="E510" s="1011" t="s">
        <v>1588</v>
      </c>
      <c r="F510" s="1011" t="s">
        <v>2395</v>
      </c>
    </row>
    <row r="511" spans="1:6" x14ac:dyDescent="0.25">
      <c r="A511" s="1011">
        <v>34124487</v>
      </c>
      <c r="B511" s="1011" t="s">
        <v>2991</v>
      </c>
      <c r="C511" s="1011" t="s">
        <v>2992</v>
      </c>
      <c r="D511" s="1011" t="s">
        <v>2242</v>
      </c>
      <c r="E511" s="1011" t="s">
        <v>1583</v>
      </c>
      <c r="F511" s="1011" t="s">
        <v>2243</v>
      </c>
    </row>
    <row r="512" spans="1:6" x14ac:dyDescent="0.25">
      <c r="A512" s="1011">
        <v>4178711</v>
      </c>
      <c r="B512" s="1011" t="s">
        <v>2993</v>
      </c>
      <c r="C512" s="1011" t="s">
        <v>2994</v>
      </c>
      <c r="D512" s="1011" t="s">
        <v>2995</v>
      </c>
      <c r="E512" s="1011" t="s">
        <v>1593</v>
      </c>
      <c r="F512" s="1011" t="s">
        <v>2996</v>
      </c>
    </row>
    <row r="513" spans="1:6" x14ac:dyDescent="0.25">
      <c r="A513" s="1011">
        <v>34229682</v>
      </c>
      <c r="B513" s="1011" t="s">
        <v>2997</v>
      </c>
      <c r="C513" s="1011" t="s">
        <v>2998</v>
      </c>
      <c r="D513" s="1011" t="s">
        <v>1685</v>
      </c>
      <c r="E513" s="1011" t="s">
        <v>1593</v>
      </c>
      <c r="F513" s="1011" t="s">
        <v>1469</v>
      </c>
    </row>
    <row r="514" spans="1:6" x14ac:dyDescent="0.25">
      <c r="A514" s="1011">
        <v>4125563</v>
      </c>
      <c r="B514" s="1011" t="s">
        <v>2999</v>
      </c>
      <c r="C514" s="1011" t="s">
        <v>3000</v>
      </c>
      <c r="D514" s="1011" t="s">
        <v>1735</v>
      </c>
      <c r="E514" s="1011" t="s">
        <v>1588</v>
      </c>
      <c r="F514" s="1011" t="s">
        <v>1736</v>
      </c>
    </row>
    <row r="515" spans="1:6" x14ac:dyDescent="0.25">
      <c r="A515" s="1011">
        <v>54125430</v>
      </c>
      <c r="B515" s="1011" t="s">
        <v>3001</v>
      </c>
      <c r="C515" s="1011" t="s">
        <v>3002</v>
      </c>
      <c r="D515" s="1011" t="s">
        <v>2228</v>
      </c>
      <c r="E515" s="1011" t="s">
        <v>1588</v>
      </c>
      <c r="F515" s="1011" t="s">
        <v>2229</v>
      </c>
    </row>
    <row r="516" spans="1:6" x14ac:dyDescent="0.25">
      <c r="A516" s="1011">
        <v>4123873</v>
      </c>
      <c r="B516" s="1011" t="s">
        <v>3003</v>
      </c>
      <c r="C516" s="1011" t="s">
        <v>3004</v>
      </c>
      <c r="D516" s="1011" t="s">
        <v>1602</v>
      </c>
      <c r="E516" s="1011" t="s">
        <v>1593</v>
      </c>
      <c r="F516" s="1011" t="s">
        <v>1417</v>
      </c>
    </row>
    <row r="517" spans="1:6" x14ac:dyDescent="0.25">
      <c r="A517" s="1011">
        <v>24125684</v>
      </c>
      <c r="B517" s="1011" t="s">
        <v>3005</v>
      </c>
      <c r="C517" s="1011" t="s">
        <v>3006</v>
      </c>
      <c r="D517" s="1011" t="s">
        <v>3007</v>
      </c>
      <c r="E517" s="1011" t="s">
        <v>1588</v>
      </c>
      <c r="F517" s="1011" t="s">
        <v>3008</v>
      </c>
    </row>
    <row r="518" spans="1:6" x14ac:dyDescent="0.25">
      <c r="A518" s="1011">
        <v>4125308</v>
      </c>
      <c r="B518" s="1011" t="s">
        <v>3009</v>
      </c>
      <c r="C518" s="1011" t="s">
        <v>3010</v>
      </c>
      <c r="D518" s="1011" t="s">
        <v>1943</v>
      </c>
      <c r="E518" s="1011" t="s">
        <v>1588</v>
      </c>
      <c r="F518" s="1011" t="s">
        <v>1944</v>
      </c>
    </row>
    <row r="519" spans="1:6" x14ac:dyDescent="0.25">
      <c r="A519" s="1011">
        <v>4124509</v>
      </c>
      <c r="B519" s="1011" t="s">
        <v>3011</v>
      </c>
      <c r="C519" s="1011" t="s">
        <v>3012</v>
      </c>
      <c r="D519" s="1011" t="s">
        <v>1605</v>
      </c>
      <c r="E519" s="1011" t="s">
        <v>1593</v>
      </c>
      <c r="F519" s="1011" t="s">
        <v>1606</v>
      </c>
    </row>
    <row r="520" spans="1:6" x14ac:dyDescent="0.25">
      <c r="A520" s="1011">
        <v>14125256</v>
      </c>
      <c r="B520" s="1011" t="s">
        <v>3013</v>
      </c>
      <c r="C520" s="1011" t="s">
        <v>3014</v>
      </c>
      <c r="D520" s="1011" t="s">
        <v>1735</v>
      </c>
      <c r="E520" s="1011" t="s">
        <v>1588</v>
      </c>
      <c r="F520" s="1011" t="s">
        <v>1736</v>
      </c>
    </row>
    <row r="521" spans="1:6" x14ac:dyDescent="0.25">
      <c r="A521" s="1011">
        <v>44125557</v>
      </c>
      <c r="B521" s="1011" t="s">
        <v>3015</v>
      </c>
      <c r="C521" s="1011" t="s">
        <v>3016</v>
      </c>
      <c r="D521" s="1011" t="s">
        <v>1909</v>
      </c>
      <c r="E521" s="1011" t="s">
        <v>1588</v>
      </c>
      <c r="F521" s="1011" t="s">
        <v>1910</v>
      </c>
    </row>
    <row r="522" spans="1:6" x14ac:dyDescent="0.25">
      <c r="A522" s="1011">
        <v>64142086</v>
      </c>
      <c r="B522" s="1011" t="s">
        <v>3017</v>
      </c>
      <c r="C522" s="1011" t="s">
        <v>3018</v>
      </c>
      <c r="D522" s="1011" t="s">
        <v>1127</v>
      </c>
      <c r="E522" s="1011" t="s">
        <v>1593</v>
      </c>
      <c r="F522" s="1011" t="s">
        <v>1461</v>
      </c>
    </row>
    <row r="523" spans="1:6" x14ac:dyDescent="0.25">
      <c r="A523" s="1011">
        <v>74146275</v>
      </c>
      <c r="B523" s="1011" t="s">
        <v>3019</v>
      </c>
      <c r="C523" s="1011" t="s">
        <v>3020</v>
      </c>
      <c r="D523" s="1011" t="s">
        <v>2376</v>
      </c>
      <c r="E523" s="1011" t="s">
        <v>1588</v>
      </c>
      <c r="F523" s="1011" t="s">
        <v>2377</v>
      </c>
    </row>
    <row r="524" spans="1:6" x14ac:dyDescent="0.25">
      <c r="A524" s="1011">
        <v>14123954</v>
      </c>
      <c r="B524" s="1011" t="s">
        <v>3021</v>
      </c>
      <c r="C524" s="1011" t="s">
        <v>3022</v>
      </c>
      <c r="D524" s="1011" t="s">
        <v>2969</v>
      </c>
      <c r="E524" s="1011" t="s">
        <v>1583</v>
      </c>
      <c r="F524" s="1011" t="s">
        <v>1451</v>
      </c>
    </row>
    <row r="525" spans="1:6" x14ac:dyDescent="0.25">
      <c r="A525" s="1011">
        <v>84124759</v>
      </c>
      <c r="B525" s="1011" t="s">
        <v>3023</v>
      </c>
      <c r="C525" s="1011" t="s">
        <v>3024</v>
      </c>
      <c r="D525" s="1011" t="s">
        <v>2390</v>
      </c>
      <c r="E525" s="1011" t="s">
        <v>1583</v>
      </c>
      <c r="F525" s="1011" t="s">
        <v>2391</v>
      </c>
    </row>
    <row r="526" spans="1:6" x14ac:dyDescent="0.25">
      <c r="A526" s="1011">
        <v>14157432</v>
      </c>
      <c r="B526" s="1011" t="s">
        <v>3025</v>
      </c>
      <c r="C526" s="1011" t="s">
        <v>3026</v>
      </c>
      <c r="D526" s="1011" t="s">
        <v>1767</v>
      </c>
      <c r="E526" s="1011" t="s">
        <v>1593</v>
      </c>
      <c r="F526" s="1011" t="s">
        <v>1419</v>
      </c>
    </row>
    <row r="527" spans="1:6" x14ac:dyDescent="0.25">
      <c r="A527" s="1011">
        <v>84124403</v>
      </c>
      <c r="B527" s="1011" t="s">
        <v>3027</v>
      </c>
      <c r="C527" s="1011" t="s">
        <v>3028</v>
      </c>
      <c r="D527" s="1011" t="s">
        <v>1969</v>
      </c>
      <c r="E527" s="1011" t="s">
        <v>1593</v>
      </c>
      <c r="F527" s="1011" t="s">
        <v>1970</v>
      </c>
    </row>
    <row r="528" spans="1:6" x14ac:dyDescent="0.25">
      <c r="A528" s="1011">
        <v>74124348</v>
      </c>
      <c r="B528" s="1011" t="s">
        <v>3029</v>
      </c>
      <c r="C528" s="1011" t="s">
        <v>3030</v>
      </c>
      <c r="D528" s="1011" t="s">
        <v>1767</v>
      </c>
      <c r="E528" s="1011" t="s">
        <v>1593</v>
      </c>
      <c r="F528" s="1011" t="s">
        <v>1419</v>
      </c>
    </row>
    <row r="529" spans="1:6" x14ac:dyDescent="0.25">
      <c r="A529" s="1011">
        <v>44124931</v>
      </c>
      <c r="B529" s="1011" t="s">
        <v>3031</v>
      </c>
      <c r="C529" s="1011" t="s">
        <v>3032</v>
      </c>
      <c r="D529" s="1011" t="s">
        <v>2332</v>
      </c>
      <c r="E529" s="1011" t="s">
        <v>1583</v>
      </c>
      <c r="F529" s="1011" t="s">
        <v>2333</v>
      </c>
    </row>
    <row r="530" spans="1:6" x14ac:dyDescent="0.25">
      <c r="A530" s="1011">
        <v>44123933</v>
      </c>
      <c r="B530" s="1011" t="s">
        <v>3033</v>
      </c>
      <c r="C530" s="1011" t="s">
        <v>3034</v>
      </c>
      <c r="D530" s="1011" t="s">
        <v>2726</v>
      </c>
      <c r="E530" s="1011" t="s">
        <v>1593</v>
      </c>
      <c r="F530" s="1011" t="s">
        <v>2727</v>
      </c>
    </row>
    <row r="531" spans="1:6" x14ac:dyDescent="0.25">
      <c r="A531" s="1011">
        <v>94123379</v>
      </c>
      <c r="B531" s="1011" t="s">
        <v>3035</v>
      </c>
      <c r="C531" s="1011" t="s">
        <v>3036</v>
      </c>
      <c r="D531" s="1011" t="s">
        <v>1728</v>
      </c>
      <c r="E531" s="1011" t="s">
        <v>1593</v>
      </c>
      <c r="F531" s="1011" t="s">
        <v>1729</v>
      </c>
    </row>
    <row r="532" spans="1:6" x14ac:dyDescent="0.25">
      <c r="A532" s="1011">
        <v>74125964</v>
      </c>
      <c r="B532" s="1011" t="s">
        <v>3037</v>
      </c>
      <c r="C532" s="1011" t="s">
        <v>3038</v>
      </c>
      <c r="D532" s="1011" t="s">
        <v>1804</v>
      </c>
      <c r="E532" s="1011" t="s">
        <v>1588</v>
      </c>
      <c r="F532" s="1011" t="s">
        <v>1805</v>
      </c>
    </row>
    <row r="533" spans="1:6" x14ac:dyDescent="0.25">
      <c r="A533" s="1011">
        <v>84124239</v>
      </c>
      <c r="B533" s="1011" t="s">
        <v>3039</v>
      </c>
      <c r="C533" s="1011" t="s">
        <v>3040</v>
      </c>
      <c r="D533" s="1011" t="s">
        <v>2275</v>
      </c>
      <c r="E533" s="1011" t="s">
        <v>1593</v>
      </c>
      <c r="F533" s="1011" t="s">
        <v>2276</v>
      </c>
    </row>
    <row r="534" spans="1:6" x14ac:dyDescent="0.25">
      <c r="A534" s="1011">
        <v>74125915</v>
      </c>
      <c r="B534" s="1011" t="s">
        <v>3041</v>
      </c>
      <c r="C534" s="1011" t="s">
        <v>3042</v>
      </c>
      <c r="D534" s="1011" t="s">
        <v>72</v>
      </c>
      <c r="E534" s="1011" t="s">
        <v>1612</v>
      </c>
      <c r="F534" s="1011" t="s">
        <v>2653</v>
      </c>
    </row>
    <row r="535" spans="1:6" x14ac:dyDescent="0.25">
      <c r="A535" s="1011">
        <v>24124158</v>
      </c>
      <c r="B535" s="1011" t="s">
        <v>3043</v>
      </c>
      <c r="C535" s="1011" t="s">
        <v>3044</v>
      </c>
      <c r="D535" s="1011" t="s">
        <v>1602</v>
      </c>
      <c r="E535" s="1011" t="s">
        <v>1593</v>
      </c>
      <c r="F535" s="1011" t="s">
        <v>1417</v>
      </c>
    </row>
    <row r="536" spans="1:6" x14ac:dyDescent="0.25">
      <c r="A536" s="1011">
        <v>4124699</v>
      </c>
      <c r="B536" s="1011" t="s">
        <v>3045</v>
      </c>
      <c r="C536" s="1011" t="s">
        <v>3046</v>
      </c>
      <c r="D536" s="1011" t="s">
        <v>3047</v>
      </c>
      <c r="E536" s="1011" t="s">
        <v>1583</v>
      </c>
      <c r="F536" s="1011" t="s">
        <v>3048</v>
      </c>
    </row>
    <row r="537" spans="1:6" x14ac:dyDescent="0.25">
      <c r="A537" s="1011">
        <v>54132154</v>
      </c>
      <c r="B537" s="1011" t="s">
        <v>3049</v>
      </c>
      <c r="C537" s="1011" t="s">
        <v>3050</v>
      </c>
      <c r="D537" s="1011" t="s">
        <v>3051</v>
      </c>
      <c r="E537" s="1011" t="s">
        <v>1583</v>
      </c>
      <c r="F537" s="1011" t="s">
        <v>1373</v>
      </c>
    </row>
    <row r="538" spans="1:6" x14ac:dyDescent="0.25">
      <c r="A538" s="1011">
        <v>54125471</v>
      </c>
      <c r="B538" s="1011" t="s">
        <v>3052</v>
      </c>
      <c r="C538" s="1011" t="s">
        <v>3053</v>
      </c>
      <c r="D538" s="1011" t="s">
        <v>3054</v>
      </c>
      <c r="E538" s="1011" t="s">
        <v>1588</v>
      </c>
      <c r="F538" s="1011" t="s">
        <v>3055</v>
      </c>
    </row>
    <row r="539" spans="1:6" x14ac:dyDescent="0.25">
      <c r="A539" s="1011">
        <v>74123324</v>
      </c>
      <c r="B539" s="1011" t="s">
        <v>3056</v>
      </c>
      <c r="C539" s="1011" t="s">
        <v>3057</v>
      </c>
      <c r="D539" s="1011" t="s">
        <v>47</v>
      </c>
      <c r="E539" s="1011" t="s">
        <v>1593</v>
      </c>
      <c r="F539" s="1011" t="s">
        <v>3058</v>
      </c>
    </row>
    <row r="540" spans="1:6" x14ac:dyDescent="0.25">
      <c r="A540" s="1011">
        <v>4124392</v>
      </c>
      <c r="B540" s="1011" t="s">
        <v>3059</v>
      </c>
      <c r="C540" s="1011" t="s">
        <v>3060</v>
      </c>
      <c r="D540" s="1011" t="s">
        <v>1602</v>
      </c>
      <c r="E540" s="1011" t="s">
        <v>1593</v>
      </c>
      <c r="F540" s="1011" t="s">
        <v>1417</v>
      </c>
    </row>
    <row r="541" spans="1:6" x14ac:dyDescent="0.25">
      <c r="A541" s="1011">
        <v>74125360</v>
      </c>
      <c r="B541" s="1011" t="s">
        <v>3061</v>
      </c>
      <c r="C541" s="1011" t="s">
        <v>3062</v>
      </c>
      <c r="D541" s="1011" t="s">
        <v>72</v>
      </c>
      <c r="E541" s="1011" t="s">
        <v>1612</v>
      </c>
      <c r="F541" s="1011" t="s">
        <v>3063</v>
      </c>
    </row>
    <row r="542" spans="1:6" x14ac:dyDescent="0.25">
      <c r="A542" s="1011">
        <v>54125992</v>
      </c>
      <c r="B542" s="1011" t="s">
        <v>3064</v>
      </c>
      <c r="C542" s="1011" t="s">
        <v>3065</v>
      </c>
      <c r="D542" s="1011" t="s">
        <v>1767</v>
      </c>
      <c r="E542" s="1011" t="s">
        <v>1593</v>
      </c>
      <c r="F542" s="1011" t="s">
        <v>1419</v>
      </c>
    </row>
    <row r="543" spans="1:6" x14ac:dyDescent="0.25">
      <c r="A543" s="1011">
        <v>34165084</v>
      </c>
      <c r="B543" s="1011" t="s">
        <v>3066</v>
      </c>
      <c r="C543" s="1011" t="s">
        <v>3067</v>
      </c>
      <c r="D543" s="1011" t="s">
        <v>1668</v>
      </c>
      <c r="E543" s="1011" t="s">
        <v>1588</v>
      </c>
      <c r="F543" s="1011" t="s">
        <v>1783</v>
      </c>
    </row>
    <row r="544" spans="1:6" x14ac:dyDescent="0.25">
      <c r="A544" s="1011">
        <v>74124033</v>
      </c>
      <c r="B544" s="1011" t="s">
        <v>3068</v>
      </c>
      <c r="C544" s="1011" t="s">
        <v>3069</v>
      </c>
      <c r="D544" s="1011" t="s">
        <v>1756</v>
      </c>
      <c r="E544" s="1011" t="s">
        <v>1593</v>
      </c>
      <c r="F544" s="1011" t="s">
        <v>1429</v>
      </c>
    </row>
    <row r="545" spans="1:6" x14ac:dyDescent="0.25">
      <c r="A545" s="1011">
        <v>64124639</v>
      </c>
      <c r="B545" s="1011" t="s">
        <v>3070</v>
      </c>
      <c r="C545" s="1011" t="s">
        <v>3071</v>
      </c>
      <c r="D545" s="1011" t="s">
        <v>1127</v>
      </c>
      <c r="E545" s="1011" t="s">
        <v>1593</v>
      </c>
      <c r="F545" s="1011" t="s">
        <v>1383</v>
      </c>
    </row>
    <row r="546" spans="1:6" x14ac:dyDescent="0.25">
      <c r="A546" s="1011">
        <v>54123617</v>
      </c>
      <c r="B546" s="1011" t="s">
        <v>3072</v>
      </c>
      <c r="C546" s="1011" t="s">
        <v>3073</v>
      </c>
      <c r="D546" s="1011" t="s">
        <v>2101</v>
      </c>
      <c r="E546" s="1011" t="s">
        <v>1593</v>
      </c>
      <c r="F546" s="1011" t="s">
        <v>2102</v>
      </c>
    </row>
    <row r="547" spans="1:6" x14ac:dyDescent="0.25">
      <c r="A547" s="1011">
        <v>34179648</v>
      </c>
      <c r="B547" s="1011" t="s">
        <v>3074</v>
      </c>
      <c r="C547" s="1011" t="s">
        <v>3075</v>
      </c>
      <c r="D547" s="1011" t="s">
        <v>2097</v>
      </c>
      <c r="E547" s="1011" t="s">
        <v>1588</v>
      </c>
      <c r="F547" s="1011" t="s">
        <v>2098</v>
      </c>
    </row>
    <row r="548" spans="1:6" x14ac:dyDescent="0.25">
      <c r="A548" s="1011">
        <v>4125266</v>
      </c>
      <c r="B548" s="1011" t="s">
        <v>3076</v>
      </c>
      <c r="C548" s="1011" t="s">
        <v>3077</v>
      </c>
      <c r="D548" s="1011" t="s">
        <v>3078</v>
      </c>
      <c r="E548" s="1011" t="s">
        <v>1593</v>
      </c>
      <c r="F548" s="1011" t="s">
        <v>1407</v>
      </c>
    </row>
    <row r="549" spans="1:6" x14ac:dyDescent="0.25">
      <c r="A549" s="1011">
        <v>34155820</v>
      </c>
      <c r="B549" s="1011" t="s">
        <v>3079</v>
      </c>
      <c r="C549" s="1011" t="s">
        <v>3080</v>
      </c>
      <c r="D549" s="1011" t="s">
        <v>3081</v>
      </c>
      <c r="E549" s="1011" t="s">
        <v>1612</v>
      </c>
      <c r="F549" s="1011" t="s">
        <v>3082</v>
      </c>
    </row>
    <row r="550" spans="1:6" x14ac:dyDescent="0.25">
      <c r="A550" s="1011">
        <v>44124451</v>
      </c>
      <c r="B550" s="1011" t="s">
        <v>3083</v>
      </c>
      <c r="C550" s="1011" t="s">
        <v>3084</v>
      </c>
      <c r="D550" s="1011" t="s">
        <v>3085</v>
      </c>
      <c r="E550" s="1011" t="s">
        <v>1593</v>
      </c>
      <c r="F550" s="1011" t="s">
        <v>3086</v>
      </c>
    </row>
    <row r="551" spans="1:6" x14ac:dyDescent="0.25">
      <c r="A551" s="1011">
        <v>54123526</v>
      </c>
      <c r="B551" s="1011" t="s">
        <v>3087</v>
      </c>
      <c r="C551" s="1011" t="s">
        <v>3088</v>
      </c>
      <c r="D551" s="1011" t="s">
        <v>1127</v>
      </c>
      <c r="E551" s="1011" t="s">
        <v>1593</v>
      </c>
      <c r="F551" s="1011" t="s">
        <v>1449</v>
      </c>
    </row>
    <row r="552" spans="1:6" x14ac:dyDescent="0.25">
      <c r="A552" s="1011">
        <v>44124832</v>
      </c>
      <c r="B552" s="1011" t="s">
        <v>3089</v>
      </c>
      <c r="C552" s="1011" t="s">
        <v>3090</v>
      </c>
      <c r="D552" s="1011" t="s">
        <v>3091</v>
      </c>
      <c r="E552" s="1011" t="s">
        <v>1583</v>
      </c>
      <c r="F552" s="1011" t="s">
        <v>3092</v>
      </c>
    </row>
    <row r="553" spans="1:6" x14ac:dyDescent="0.25">
      <c r="A553" s="1011">
        <v>54124565</v>
      </c>
      <c r="B553" s="1011" t="s">
        <v>3093</v>
      </c>
      <c r="C553" s="1011" t="s">
        <v>3094</v>
      </c>
      <c r="D553" s="1011" t="s">
        <v>2133</v>
      </c>
      <c r="E553" s="1011" t="s">
        <v>1593</v>
      </c>
      <c r="F553" s="1011" t="s">
        <v>2134</v>
      </c>
    </row>
    <row r="554" spans="1:6" x14ac:dyDescent="0.25">
      <c r="A554" s="1011">
        <v>54125653</v>
      </c>
      <c r="B554" s="1011" t="s">
        <v>3095</v>
      </c>
      <c r="C554" s="1011" t="s">
        <v>3096</v>
      </c>
      <c r="D554" s="1011" t="s">
        <v>1587</v>
      </c>
      <c r="E554" s="1011" t="s">
        <v>1588</v>
      </c>
      <c r="F554" s="1011" t="s">
        <v>1589</v>
      </c>
    </row>
    <row r="555" spans="1:6" x14ac:dyDescent="0.25">
      <c r="A555" s="1011">
        <v>84246115</v>
      </c>
      <c r="B555" s="1011" t="s">
        <v>3097</v>
      </c>
      <c r="C555" s="1011" t="s">
        <v>3098</v>
      </c>
      <c r="D555" s="1011" t="s">
        <v>1756</v>
      </c>
      <c r="E555" s="1011" t="s">
        <v>1593</v>
      </c>
      <c r="F555" s="1011" t="s">
        <v>1429</v>
      </c>
    </row>
    <row r="556" spans="1:6" x14ac:dyDescent="0.25">
      <c r="A556" s="1011">
        <v>4123998</v>
      </c>
      <c r="B556" s="1011" t="s">
        <v>3099</v>
      </c>
      <c r="C556" s="1011" t="s">
        <v>3100</v>
      </c>
      <c r="D556" s="1011" t="s">
        <v>1756</v>
      </c>
      <c r="E556" s="1011" t="s">
        <v>1593</v>
      </c>
      <c r="F556" s="1011" t="s">
        <v>1429</v>
      </c>
    </row>
    <row r="557" spans="1:6" x14ac:dyDescent="0.25">
      <c r="A557" s="1011">
        <v>14124622</v>
      </c>
      <c r="B557" s="1011" t="s">
        <v>3101</v>
      </c>
      <c r="C557" s="1011" t="s">
        <v>3102</v>
      </c>
      <c r="D557" s="1011" t="s">
        <v>1127</v>
      </c>
      <c r="E557" s="1011" t="s">
        <v>1593</v>
      </c>
      <c r="F557" s="1011" t="s">
        <v>1375</v>
      </c>
    </row>
    <row r="558" spans="1:6" x14ac:dyDescent="0.25">
      <c r="A558" s="1011">
        <v>84237049</v>
      </c>
      <c r="B558" s="1011" t="s">
        <v>3103</v>
      </c>
      <c r="C558" s="1011" t="s">
        <v>3104</v>
      </c>
      <c r="D558" s="1011" t="s">
        <v>1127</v>
      </c>
      <c r="E558" s="1011" t="s">
        <v>1593</v>
      </c>
      <c r="F558" s="1011" t="s">
        <v>1461</v>
      </c>
    </row>
    <row r="559" spans="1:6" x14ac:dyDescent="0.25">
      <c r="A559" s="1011">
        <v>74228610</v>
      </c>
      <c r="B559" s="1011" t="s">
        <v>3105</v>
      </c>
      <c r="C559" s="1011" t="s">
        <v>3106</v>
      </c>
      <c r="D559" s="1011" t="s">
        <v>1127</v>
      </c>
      <c r="E559" s="1011" t="s">
        <v>1593</v>
      </c>
      <c r="F559" s="1011" t="s">
        <v>1383</v>
      </c>
    </row>
    <row r="560" spans="1:6" x14ac:dyDescent="0.25">
      <c r="A560" s="1011">
        <v>74123647</v>
      </c>
      <c r="B560" s="1011" t="s">
        <v>3107</v>
      </c>
      <c r="C560" s="1011" t="s">
        <v>3108</v>
      </c>
      <c r="D560" s="1011" t="s">
        <v>1127</v>
      </c>
      <c r="E560" s="1011" t="s">
        <v>1593</v>
      </c>
      <c r="F560" s="1011" t="s">
        <v>1461</v>
      </c>
    </row>
    <row r="561" spans="1:6" x14ac:dyDescent="0.25">
      <c r="A561" s="1011">
        <v>94125713</v>
      </c>
      <c r="B561" s="1011" t="s">
        <v>3109</v>
      </c>
      <c r="C561" s="1011" t="s">
        <v>3110</v>
      </c>
      <c r="D561" s="1011" t="s">
        <v>1624</v>
      </c>
      <c r="E561" s="1011" t="s">
        <v>1612</v>
      </c>
      <c r="F561" s="1011" t="s">
        <v>1625</v>
      </c>
    </row>
    <row r="562" spans="1:6" x14ac:dyDescent="0.25">
      <c r="A562" s="1011">
        <v>54125596</v>
      </c>
      <c r="B562" s="1011" t="s">
        <v>3111</v>
      </c>
      <c r="C562" s="1011" t="s">
        <v>3112</v>
      </c>
      <c r="D562" s="1011" t="s">
        <v>1847</v>
      </c>
      <c r="E562" s="1011" t="s">
        <v>1588</v>
      </c>
      <c r="F562" s="1011" t="s">
        <v>1848</v>
      </c>
    </row>
    <row r="563" spans="1:6" x14ac:dyDescent="0.25">
      <c r="A563" s="1011">
        <v>64179336</v>
      </c>
      <c r="B563" s="1011" t="s">
        <v>3113</v>
      </c>
      <c r="C563" s="1011" t="s">
        <v>3114</v>
      </c>
      <c r="D563" s="1011" t="s">
        <v>2523</v>
      </c>
      <c r="E563" s="1011" t="s">
        <v>1612</v>
      </c>
      <c r="F563" s="1011" t="s">
        <v>2524</v>
      </c>
    </row>
    <row r="564" spans="1:6" x14ac:dyDescent="0.25">
      <c r="A564" s="1011">
        <v>44128239</v>
      </c>
      <c r="B564" s="1011" t="s">
        <v>3115</v>
      </c>
      <c r="C564" s="1011" t="s">
        <v>3116</v>
      </c>
      <c r="D564" s="1011" t="s">
        <v>2287</v>
      </c>
      <c r="E564" s="1011" t="s">
        <v>1583</v>
      </c>
      <c r="F564" s="1011" t="s">
        <v>2288</v>
      </c>
    </row>
    <row r="565" spans="1:6" x14ac:dyDescent="0.25">
      <c r="A565" s="1011">
        <v>34139196</v>
      </c>
      <c r="B565" s="1011" t="s">
        <v>3117</v>
      </c>
      <c r="C565" s="1011" t="s">
        <v>3118</v>
      </c>
      <c r="D565" s="1011" t="s">
        <v>1127</v>
      </c>
      <c r="E565" s="1011" t="s">
        <v>1593</v>
      </c>
      <c r="F565" s="1011" t="s">
        <v>1461</v>
      </c>
    </row>
    <row r="566" spans="1:6" x14ac:dyDescent="0.25">
      <c r="A566" s="1011">
        <v>34123745</v>
      </c>
      <c r="B566" s="1011" t="s">
        <v>3119</v>
      </c>
      <c r="C566" s="1011" t="s">
        <v>2389</v>
      </c>
      <c r="D566" s="1011" t="s">
        <v>3120</v>
      </c>
      <c r="E566" s="1011" t="s">
        <v>1593</v>
      </c>
      <c r="F566" s="1011" t="s">
        <v>3121</v>
      </c>
    </row>
    <row r="567" spans="1:6" x14ac:dyDescent="0.25">
      <c r="A567" s="1011">
        <v>94125978</v>
      </c>
      <c r="B567" s="1011" t="s">
        <v>3122</v>
      </c>
      <c r="C567" s="1011" t="s">
        <v>3123</v>
      </c>
      <c r="D567" s="1011" t="s">
        <v>1735</v>
      </c>
      <c r="E567" s="1011" t="s">
        <v>1588</v>
      </c>
      <c r="F567" s="1011" t="s">
        <v>1736</v>
      </c>
    </row>
    <row r="568" spans="1:6" x14ac:dyDescent="0.25">
      <c r="A568" s="1011">
        <v>84172758</v>
      </c>
      <c r="B568" s="1011" t="s">
        <v>3124</v>
      </c>
      <c r="C568" s="1011" t="s">
        <v>3125</v>
      </c>
      <c r="D568" s="1011" t="s">
        <v>1592</v>
      </c>
      <c r="E568" s="1011" t="s">
        <v>1593</v>
      </c>
      <c r="F568" s="1011" t="s">
        <v>1367</v>
      </c>
    </row>
    <row r="569" spans="1:6" x14ac:dyDescent="0.25">
      <c r="A569" s="1011">
        <v>74126087</v>
      </c>
      <c r="B569" s="1011" t="s">
        <v>3126</v>
      </c>
      <c r="C569" s="1011" t="s">
        <v>3127</v>
      </c>
      <c r="D569" s="1011" t="s">
        <v>2662</v>
      </c>
      <c r="E569" s="1011" t="s">
        <v>1588</v>
      </c>
      <c r="F569" s="1011" t="s">
        <v>2663</v>
      </c>
    </row>
    <row r="570" spans="1:6" x14ac:dyDescent="0.25">
      <c r="A570" s="1011">
        <v>54123708</v>
      </c>
      <c r="B570" s="1011" t="s">
        <v>3128</v>
      </c>
      <c r="C570" s="1011" t="s">
        <v>3129</v>
      </c>
      <c r="D570" s="1011" t="s">
        <v>3130</v>
      </c>
      <c r="E570" s="1011" t="s">
        <v>1593</v>
      </c>
      <c r="F570" s="1011" t="s">
        <v>3131</v>
      </c>
    </row>
    <row r="571" spans="1:6" x14ac:dyDescent="0.25">
      <c r="A571" s="1011">
        <v>44222412</v>
      </c>
      <c r="B571" s="1011" t="s">
        <v>3132</v>
      </c>
      <c r="C571" s="1011" t="s">
        <v>3133</v>
      </c>
      <c r="D571" s="1011" t="s">
        <v>1752</v>
      </c>
      <c r="E571" s="1011" t="s">
        <v>1588</v>
      </c>
      <c r="F571" s="1011" t="s">
        <v>1753</v>
      </c>
    </row>
    <row r="572" spans="1:6" x14ac:dyDescent="0.25">
      <c r="A572" s="1011">
        <v>14123525</v>
      </c>
      <c r="B572" s="1011" t="s">
        <v>3134</v>
      </c>
      <c r="C572" s="1011" t="s">
        <v>3135</v>
      </c>
      <c r="D572" s="1011" t="s">
        <v>1127</v>
      </c>
      <c r="E572" s="1011" t="s">
        <v>1593</v>
      </c>
      <c r="F572" s="1011" t="s">
        <v>1445</v>
      </c>
    </row>
    <row r="573" spans="1:6" x14ac:dyDescent="0.25">
      <c r="A573" s="1011">
        <v>34125534</v>
      </c>
      <c r="B573" s="1011" t="s">
        <v>3136</v>
      </c>
      <c r="C573" s="1011" t="s">
        <v>3137</v>
      </c>
      <c r="D573" s="1011" t="s">
        <v>3138</v>
      </c>
      <c r="E573" s="1011" t="s">
        <v>1588</v>
      </c>
      <c r="F573" s="1011" t="s">
        <v>3139</v>
      </c>
    </row>
    <row r="574" spans="1:6" x14ac:dyDescent="0.25">
      <c r="A574" s="1011">
        <v>94125424</v>
      </c>
      <c r="B574" s="1011" t="s">
        <v>3140</v>
      </c>
      <c r="C574" s="1011" t="s">
        <v>3141</v>
      </c>
      <c r="D574" s="1011" t="s">
        <v>72</v>
      </c>
      <c r="E574" s="1011" t="s">
        <v>1612</v>
      </c>
      <c r="F574" s="1011" t="s">
        <v>1997</v>
      </c>
    </row>
    <row r="575" spans="1:6" x14ac:dyDescent="0.25">
      <c r="A575" s="1011">
        <v>24123440</v>
      </c>
      <c r="B575" s="1011" t="s">
        <v>3142</v>
      </c>
      <c r="C575" s="1011" t="s">
        <v>3143</v>
      </c>
      <c r="D575" s="1011" t="s">
        <v>1127</v>
      </c>
      <c r="E575" s="1011" t="s">
        <v>1593</v>
      </c>
      <c r="F575" s="1011" t="s">
        <v>1449</v>
      </c>
    </row>
    <row r="576" spans="1:6" x14ac:dyDescent="0.25">
      <c r="A576" s="1011">
        <v>94163821</v>
      </c>
      <c r="B576" s="1011" t="s">
        <v>3144</v>
      </c>
      <c r="C576" s="1011" t="s">
        <v>3145</v>
      </c>
      <c r="D576" s="1011" t="s">
        <v>1668</v>
      </c>
      <c r="E576" s="1011" t="s">
        <v>1588</v>
      </c>
      <c r="F576" s="1011" t="s">
        <v>1783</v>
      </c>
    </row>
    <row r="577" spans="1:6" x14ac:dyDescent="0.25">
      <c r="A577" s="1011">
        <v>14123400</v>
      </c>
      <c r="B577" s="1011" t="s">
        <v>3146</v>
      </c>
      <c r="C577" s="1011" t="s">
        <v>3147</v>
      </c>
      <c r="D577" s="1011" t="s">
        <v>3148</v>
      </c>
      <c r="E577" s="1011" t="s">
        <v>1593</v>
      </c>
      <c r="F577" s="1011" t="s">
        <v>3149</v>
      </c>
    </row>
    <row r="578" spans="1:6" x14ac:dyDescent="0.25">
      <c r="A578" s="1011">
        <v>34125690</v>
      </c>
      <c r="B578" s="1011" t="s">
        <v>3150</v>
      </c>
      <c r="C578" s="1011" t="s">
        <v>3151</v>
      </c>
      <c r="D578" s="1011" t="s">
        <v>1125</v>
      </c>
      <c r="E578" s="1011" t="s">
        <v>1588</v>
      </c>
      <c r="F578" s="1011" t="s">
        <v>1421</v>
      </c>
    </row>
    <row r="579" spans="1:6" x14ac:dyDescent="0.25">
      <c r="A579" s="1011">
        <v>24126039</v>
      </c>
      <c r="B579" s="1011" t="s">
        <v>3152</v>
      </c>
      <c r="C579" s="1011" t="s">
        <v>3153</v>
      </c>
      <c r="D579" s="1011" t="s">
        <v>72</v>
      </c>
      <c r="E579" s="1011" t="s">
        <v>1612</v>
      </c>
      <c r="F579" s="1011" t="s">
        <v>2569</v>
      </c>
    </row>
    <row r="580" spans="1:6" x14ac:dyDescent="0.25">
      <c r="A580" s="1011">
        <v>24125817</v>
      </c>
      <c r="B580" s="1011" t="s">
        <v>3154</v>
      </c>
      <c r="C580" s="1011" t="s">
        <v>3155</v>
      </c>
      <c r="D580" s="1011" t="s">
        <v>72</v>
      </c>
      <c r="E580" s="1011" t="s">
        <v>1612</v>
      </c>
      <c r="F580" s="1011" t="s">
        <v>1997</v>
      </c>
    </row>
    <row r="581" spans="1:6" x14ac:dyDescent="0.25">
      <c r="A581" s="1011">
        <v>24162141</v>
      </c>
      <c r="B581" s="1011" t="s">
        <v>3156</v>
      </c>
      <c r="C581" s="1011" t="s">
        <v>2148</v>
      </c>
      <c r="D581" s="1011" t="s">
        <v>2074</v>
      </c>
      <c r="E581" s="1011" t="s">
        <v>1593</v>
      </c>
      <c r="F581" s="1011" t="s">
        <v>2075</v>
      </c>
    </row>
    <row r="582" spans="1:6" x14ac:dyDescent="0.25">
      <c r="A582" s="1011">
        <v>74123407</v>
      </c>
      <c r="B582" s="1011" t="s">
        <v>3157</v>
      </c>
      <c r="C582" s="1011" t="s">
        <v>3158</v>
      </c>
      <c r="D582" s="1011" t="s">
        <v>1728</v>
      </c>
      <c r="E582" s="1011" t="s">
        <v>1593</v>
      </c>
      <c r="F582" s="1011" t="s">
        <v>1729</v>
      </c>
    </row>
    <row r="583" spans="1:6" x14ac:dyDescent="0.25">
      <c r="A583" s="1011">
        <v>4125662</v>
      </c>
      <c r="B583" s="1011" t="s">
        <v>3159</v>
      </c>
      <c r="C583" s="1011" t="s">
        <v>2163</v>
      </c>
      <c r="D583" s="1011" t="s">
        <v>3160</v>
      </c>
      <c r="E583" s="1011" t="s">
        <v>1588</v>
      </c>
      <c r="F583" s="1011" t="s">
        <v>3161</v>
      </c>
    </row>
    <row r="584" spans="1:6" x14ac:dyDescent="0.25">
      <c r="A584" s="1011">
        <v>44125490</v>
      </c>
      <c r="B584" s="1011" t="s">
        <v>3162</v>
      </c>
      <c r="C584" s="1011" t="s">
        <v>3163</v>
      </c>
      <c r="D584" s="1011" t="s">
        <v>1125</v>
      </c>
      <c r="E584" s="1011" t="s">
        <v>1588</v>
      </c>
      <c r="F584" s="1011" t="s">
        <v>1361</v>
      </c>
    </row>
    <row r="585" spans="1:6" x14ac:dyDescent="0.25">
      <c r="A585" s="1011">
        <v>54244769</v>
      </c>
      <c r="B585" s="1011" t="s">
        <v>3164</v>
      </c>
      <c r="C585" s="1011" t="s">
        <v>1633</v>
      </c>
      <c r="D585" s="1011" t="s">
        <v>1634</v>
      </c>
      <c r="E585" s="1011" t="s">
        <v>1593</v>
      </c>
      <c r="F585" s="1011" t="s">
        <v>1405</v>
      </c>
    </row>
    <row r="586" spans="1:6" x14ac:dyDescent="0.25">
      <c r="A586" s="1011">
        <v>34123679</v>
      </c>
      <c r="B586" s="1011" t="s">
        <v>3165</v>
      </c>
      <c r="C586" s="1011" t="s">
        <v>3166</v>
      </c>
      <c r="D586" s="1011" t="s">
        <v>3167</v>
      </c>
      <c r="E586" s="1011" t="s">
        <v>1593</v>
      </c>
      <c r="F586" s="1011" t="s">
        <v>3168</v>
      </c>
    </row>
    <row r="587" spans="1:6" x14ac:dyDescent="0.25">
      <c r="A587" s="1011">
        <v>24125767</v>
      </c>
      <c r="B587" s="1011" t="s">
        <v>3169</v>
      </c>
      <c r="C587" s="1011" t="s">
        <v>3170</v>
      </c>
      <c r="D587" s="1011" t="s">
        <v>1668</v>
      </c>
      <c r="E587" s="1011" t="s">
        <v>1588</v>
      </c>
      <c r="F587" s="1011" t="s">
        <v>1669</v>
      </c>
    </row>
    <row r="588" spans="1:6" x14ac:dyDescent="0.25">
      <c r="A588" s="1011">
        <v>94123338</v>
      </c>
      <c r="B588" s="1011" t="s">
        <v>3171</v>
      </c>
      <c r="C588" s="1011" t="s">
        <v>3172</v>
      </c>
      <c r="D588" s="1011" t="s">
        <v>2503</v>
      </c>
      <c r="E588" s="1011" t="s">
        <v>1593</v>
      </c>
      <c r="F588" s="1011" t="s">
        <v>2504</v>
      </c>
    </row>
    <row r="589" spans="1:6" x14ac:dyDescent="0.25">
      <c r="A589" s="1011">
        <v>84125715</v>
      </c>
      <c r="B589" s="1011" t="s">
        <v>3173</v>
      </c>
      <c r="C589" s="1011" t="s">
        <v>3174</v>
      </c>
      <c r="D589" s="1011" t="s">
        <v>2670</v>
      </c>
      <c r="E589" s="1011" t="s">
        <v>1588</v>
      </c>
      <c r="F589" s="1011" t="s">
        <v>2671</v>
      </c>
    </row>
    <row r="590" spans="1:6" x14ac:dyDescent="0.25">
      <c r="A590" s="1011">
        <v>64123672</v>
      </c>
      <c r="B590" s="1011" t="s">
        <v>3175</v>
      </c>
      <c r="C590" s="1011" t="s">
        <v>3176</v>
      </c>
      <c r="D590" s="1011" t="s">
        <v>1983</v>
      </c>
      <c r="E590" s="1011" t="s">
        <v>1583</v>
      </c>
      <c r="F590" s="1011" t="s">
        <v>1984</v>
      </c>
    </row>
    <row r="591" spans="1:6" x14ac:dyDescent="0.25">
      <c r="A591" s="1011">
        <v>84125426</v>
      </c>
      <c r="B591" s="1011" t="s">
        <v>3177</v>
      </c>
      <c r="C591" s="1011" t="s">
        <v>3178</v>
      </c>
      <c r="D591" s="1011" t="s">
        <v>3179</v>
      </c>
      <c r="E591" s="1011" t="s">
        <v>1588</v>
      </c>
      <c r="F591" s="1011" t="s">
        <v>3180</v>
      </c>
    </row>
    <row r="592" spans="1:6" x14ac:dyDescent="0.25">
      <c r="A592" s="1011">
        <v>94126000</v>
      </c>
      <c r="B592" s="1011" t="s">
        <v>3181</v>
      </c>
      <c r="C592" s="1011" t="s">
        <v>3182</v>
      </c>
      <c r="D592" s="1011" t="s">
        <v>1596</v>
      </c>
      <c r="E592" s="1011" t="s">
        <v>1593</v>
      </c>
      <c r="F592" s="1011" t="s">
        <v>1351</v>
      </c>
    </row>
    <row r="593" spans="1:6" x14ac:dyDescent="0.25">
      <c r="A593" s="1011">
        <v>34125468</v>
      </c>
      <c r="B593" s="1011" t="s">
        <v>3183</v>
      </c>
      <c r="C593" s="1011" t="s">
        <v>3184</v>
      </c>
      <c r="D593" s="1011" t="s">
        <v>72</v>
      </c>
      <c r="E593" s="1011" t="s">
        <v>1612</v>
      </c>
      <c r="F593" s="1011" t="s">
        <v>3063</v>
      </c>
    </row>
    <row r="594" spans="1:6" x14ac:dyDescent="0.25">
      <c r="A594" s="1011">
        <v>84224518</v>
      </c>
      <c r="B594" s="1011" t="s">
        <v>3185</v>
      </c>
      <c r="C594" s="1011" t="s">
        <v>3186</v>
      </c>
      <c r="D594" s="1011" t="s">
        <v>1752</v>
      </c>
      <c r="E594" s="1011" t="s">
        <v>1588</v>
      </c>
      <c r="F594" s="1011" t="s">
        <v>1753</v>
      </c>
    </row>
    <row r="595" spans="1:6" x14ac:dyDescent="0.25">
      <c r="A595" s="1011">
        <v>14125298</v>
      </c>
      <c r="B595" s="1011" t="s">
        <v>3187</v>
      </c>
      <c r="C595" s="1011" t="s">
        <v>3188</v>
      </c>
      <c r="D595" s="1011" t="s">
        <v>1125</v>
      </c>
      <c r="E595" s="1011" t="s">
        <v>1588</v>
      </c>
      <c r="F595" s="1011" t="s">
        <v>1770</v>
      </c>
    </row>
    <row r="596" spans="1:6" x14ac:dyDescent="0.25">
      <c r="A596" s="1011">
        <v>74177965</v>
      </c>
      <c r="B596" s="1011" t="s">
        <v>3189</v>
      </c>
      <c r="C596" s="1011" t="s">
        <v>3190</v>
      </c>
      <c r="D596" s="1011" t="s">
        <v>2313</v>
      </c>
      <c r="E596" s="1011" t="s">
        <v>1588</v>
      </c>
      <c r="F596" s="1011" t="s">
        <v>1347</v>
      </c>
    </row>
    <row r="597" spans="1:6" x14ac:dyDescent="0.25">
      <c r="A597" s="1011">
        <v>64126063</v>
      </c>
      <c r="B597" s="1011" t="s">
        <v>3191</v>
      </c>
      <c r="C597" s="1011" t="s">
        <v>3192</v>
      </c>
      <c r="D597" s="1011" t="s">
        <v>2302</v>
      </c>
      <c r="E597" s="1011" t="s">
        <v>1588</v>
      </c>
      <c r="F597" s="1011" t="s">
        <v>1355</v>
      </c>
    </row>
    <row r="598" spans="1:6" x14ac:dyDescent="0.25">
      <c r="A598" s="1011">
        <v>44125102</v>
      </c>
      <c r="B598" s="1011" t="s">
        <v>3193</v>
      </c>
      <c r="C598" s="1011" t="s">
        <v>3194</v>
      </c>
      <c r="D598" s="1011" t="s">
        <v>1892</v>
      </c>
      <c r="E598" s="1011" t="s">
        <v>1583</v>
      </c>
      <c r="F598" s="1011" t="s">
        <v>1371</v>
      </c>
    </row>
    <row r="599" spans="1:6" x14ac:dyDescent="0.25">
      <c r="A599" s="1011">
        <v>64125990</v>
      </c>
      <c r="B599" s="1011" t="s">
        <v>3195</v>
      </c>
      <c r="C599" s="1011" t="s">
        <v>3196</v>
      </c>
      <c r="D599" s="1011" t="s">
        <v>1125</v>
      </c>
      <c r="E599" s="1011" t="s">
        <v>1588</v>
      </c>
      <c r="F599" s="1011" t="s">
        <v>1361</v>
      </c>
    </row>
    <row r="600" spans="1:6" x14ac:dyDescent="0.25">
      <c r="A600" s="1011">
        <v>44125839</v>
      </c>
      <c r="B600" s="1011" t="s">
        <v>3197</v>
      </c>
      <c r="C600" s="1011" t="s">
        <v>3198</v>
      </c>
      <c r="D600" s="1011" t="s">
        <v>2413</v>
      </c>
      <c r="E600" s="1011" t="s">
        <v>1612</v>
      </c>
      <c r="F600" s="1011" t="s">
        <v>2414</v>
      </c>
    </row>
    <row r="601" spans="1:6" x14ac:dyDescent="0.25">
      <c r="A601" s="1011">
        <v>54226162</v>
      </c>
      <c r="B601" s="1011" t="s">
        <v>3199</v>
      </c>
      <c r="C601" s="1011" t="s">
        <v>3200</v>
      </c>
      <c r="D601" s="1011" t="s">
        <v>1127</v>
      </c>
      <c r="E601" s="1011" t="s">
        <v>1593</v>
      </c>
      <c r="F601" s="1011" t="s">
        <v>1383</v>
      </c>
    </row>
    <row r="602" spans="1:6" x14ac:dyDescent="0.25">
      <c r="A602" s="1011">
        <v>84125806</v>
      </c>
      <c r="B602" s="1011" t="s">
        <v>3201</v>
      </c>
      <c r="C602" s="1011" t="s">
        <v>3202</v>
      </c>
      <c r="D602" s="1011" t="s">
        <v>2313</v>
      </c>
      <c r="E602" s="1011" t="s">
        <v>1588</v>
      </c>
      <c r="F602" s="1011" t="s">
        <v>1347</v>
      </c>
    </row>
    <row r="603" spans="1:6" x14ac:dyDescent="0.25">
      <c r="A603" s="1011">
        <v>94125663</v>
      </c>
      <c r="B603" s="1011" t="s">
        <v>3203</v>
      </c>
      <c r="C603" s="1011" t="s">
        <v>3204</v>
      </c>
      <c r="D603" s="1011" t="s">
        <v>3205</v>
      </c>
      <c r="E603" s="1011" t="s">
        <v>1588</v>
      </c>
      <c r="F603" s="1011" t="s">
        <v>3206</v>
      </c>
    </row>
    <row r="604" spans="1:6" x14ac:dyDescent="0.25">
      <c r="A604" s="1011">
        <v>84167352</v>
      </c>
      <c r="B604" s="1011" t="s">
        <v>3207</v>
      </c>
      <c r="C604" s="1011" t="s">
        <v>3208</v>
      </c>
      <c r="D604" s="1011" t="s">
        <v>1952</v>
      </c>
      <c r="E604" s="1011" t="s">
        <v>1588</v>
      </c>
      <c r="F604" s="1011" t="s">
        <v>1953</v>
      </c>
    </row>
    <row r="605" spans="1:6" x14ac:dyDescent="0.25">
      <c r="A605" s="1011">
        <v>84125137</v>
      </c>
      <c r="B605" s="1011" t="s">
        <v>3209</v>
      </c>
      <c r="C605" s="1011" t="s">
        <v>3210</v>
      </c>
      <c r="D605" s="1011" t="s">
        <v>2969</v>
      </c>
      <c r="E605" s="1011" t="s">
        <v>1583</v>
      </c>
      <c r="F605" s="1011" t="s">
        <v>1451</v>
      </c>
    </row>
    <row r="606" spans="1:6" x14ac:dyDescent="0.25">
      <c r="A606" s="1011">
        <v>54222518</v>
      </c>
      <c r="B606" s="1011" t="s">
        <v>3211</v>
      </c>
      <c r="C606" s="1011" t="s">
        <v>3212</v>
      </c>
      <c r="D606" s="1011" t="s">
        <v>1752</v>
      </c>
      <c r="E606" s="1011" t="s">
        <v>1588</v>
      </c>
      <c r="F606" s="1011" t="s">
        <v>1753</v>
      </c>
    </row>
    <row r="607" spans="1:6" x14ac:dyDescent="0.25">
      <c r="A607" s="1011">
        <v>54139183</v>
      </c>
      <c r="B607" s="1011" t="s">
        <v>3213</v>
      </c>
      <c r="C607" s="1011" t="s">
        <v>3214</v>
      </c>
      <c r="D607" s="1011" t="s">
        <v>1125</v>
      </c>
      <c r="E607" s="1011" t="s">
        <v>1588</v>
      </c>
      <c r="F607" s="1011" t="s">
        <v>1619</v>
      </c>
    </row>
    <row r="608" spans="1:6" x14ac:dyDescent="0.25">
      <c r="A608" s="1011">
        <v>44124527</v>
      </c>
      <c r="B608" s="1011" t="s">
        <v>3215</v>
      </c>
      <c r="C608" s="1011" t="s">
        <v>3216</v>
      </c>
      <c r="D608" s="1011" t="s">
        <v>3217</v>
      </c>
      <c r="E608" s="1011" t="s">
        <v>1583</v>
      </c>
      <c r="F608" s="1011" t="s">
        <v>3218</v>
      </c>
    </row>
    <row r="609" spans="1:6" x14ac:dyDescent="0.25">
      <c r="A609" s="1011">
        <v>34135749</v>
      </c>
      <c r="B609" s="1011" t="s">
        <v>3219</v>
      </c>
      <c r="C609" s="1011" t="s">
        <v>3220</v>
      </c>
      <c r="D609" s="1011" t="s">
        <v>1728</v>
      </c>
      <c r="E609" s="1011" t="s">
        <v>1593</v>
      </c>
      <c r="F609" s="1011" t="s">
        <v>1729</v>
      </c>
    </row>
    <row r="610" spans="1:6" x14ac:dyDescent="0.25">
      <c r="A610" s="1011">
        <v>94125796</v>
      </c>
      <c r="B610" s="1011" t="s">
        <v>3221</v>
      </c>
      <c r="C610" s="1011" t="s">
        <v>3222</v>
      </c>
      <c r="D610" s="1011" t="s">
        <v>2413</v>
      </c>
      <c r="E610" s="1011" t="s">
        <v>1612</v>
      </c>
      <c r="F610" s="1011" t="s">
        <v>2414</v>
      </c>
    </row>
    <row r="611" spans="1:6" x14ac:dyDescent="0.25">
      <c r="A611" s="1011">
        <v>4123568</v>
      </c>
      <c r="B611" s="1011" t="s">
        <v>3223</v>
      </c>
      <c r="C611" s="1011" t="s">
        <v>3224</v>
      </c>
      <c r="D611" s="1011" t="s">
        <v>3225</v>
      </c>
      <c r="E611" s="1011" t="s">
        <v>1583</v>
      </c>
      <c r="F611" s="1011" t="s">
        <v>3226</v>
      </c>
    </row>
    <row r="612" spans="1:6" x14ac:dyDescent="0.25">
      <c r="A612" s="1011">
        <v>84123611</v>
      </c>
      <c r="B612" s="1011" t="s">
        <v>3227</v>
      </c>
      <c r="C612" s="1011" t="s">
        <v>3228</v>
      </c>
      <c r="D612" s="1011" t="s">
        <v>2101</v>
      </c>
      <c r="E612" s="1011" t="s">
        <v>1593</v>
      </c>
      <c r="F612" s="1011" t="s">
        <v>2102</v>
      </c>
    </row>
    <row r="613" spans="1:6" x14ac:dyDescent="0.25">
      <c r="A613" s="1011">
        <v>14124283</v>
      </c>
      <c r="B613" s="1011" t="s">
        <v>3229</v>
      </c>
      <c r="C613" s="1011" t="s">
        <v>3230</v>
      </c>
      <c r="D613" s="1011" t="s">
        <v>3231</v>
      </c>
      <c r="E613" s="1011" t="s">
        <v>1593</v>
      </c>
      <c r="F613" s="1011" t="s">
        <v>3232</v>
      </c>
    </row>
    <row r="614" spans="1:6" x14ac:dyDescent="0.25">
      <c r="A614" s="1011">
        <v>44124485</v>
      </c>
      <c r="B614" s="1011" t="s">
        <v>3233</v>
      </c>
      <c r="C614" s="1011" t="s">
        <v>3234</v>
      </c>
      <c r="D614" s="1011" t="s">
        <v>2356</v>
      </c>
      <c r="E614" s="1011" t="s">
        <v>1583</v>
      </c>
      <c r="F614" s="1011" t="s">
        <v>2357</v>
      </c>
    </row>
    <row r="615" spans="1:6" x14ac:dyDescent="0.25">
      <c r="A615" s="1011">
        <v>4125589</v>
      </c>
      <c r="B615" s="1011" t="s">
        <v>3235</v>
      </c>
      <c r="C615" s="1011" t="s">
        <v>3236</v>
      </c>
      <c r="D615" s="1011" t="s">
        <v>1125</v>
      </c>
      <c r="E615" s="1011" t="s">
        <v>1588</v>
      </c>
      <c r="F615" s="1011" t="s">
        <v>1421</v>
      </c>
    </row>
    <row r="616" spans="1:6" x14ac:dyDescent="0.25">
      <c r="A616" s="1011">
        <v>84125764</v>
      </c>
      <c r="B616" s="1011" t="s">
        <v>3237</v>
      </c>
      <c r="C616" s="1011" t="s">
        <v>3238</v>
      </c>
      <c r="D616" s="1011" t="s">
        <v>1752</v>
      </c>
      <c r="E616" s="1011" t="s">
        <v>1588</v>
      </c>
      <c r="F616" s="1011" t="s">
        <v>1753</v>
      </c>
    </row>
    <row r="617" spans="1:6" x14ac:dyDescent="0.25">
      <c r="A617" s="1011">
        <v>44124162</v>
      </c>
      <c r="B617" s="1011" t="s">
        <v>3239</v>
      </c>
      <c r="C617" s="1011" t="s">
        <v>3240</v>
      </c>
      <c r="D617" s="1011" t="s">
        <v>1685</v>
      </c>
      <c r="E617" s="1011" t="s">
        <v>1593</v>
      </c>
      <c r="F617" s="1011" t="s">
        <v>1469</v>
      </c>
    </row>
    <row r="618" spans="1:6" x14ac:dyDescent="0.25">
      <c r="A618" s="1011">
        <v>34124529</v>
      </c>
      <c r="B618" s="1011" t="s">
        <v>3241</v>
      </c>
      <c r="C618" s="1011" t="s">
        <v>3242</v>
      </c>
      <c r="D618" s="1011" t="s">
        <v>2174</v>
      </c>
      <c r="E618" s="1011" t="s">
        <v>1593</v>
      </c>
      <c r="F618" s="1011" t="s">
        <v>2175</v>
      </c>
    </row>
    <row r="619" spans="1:6" x14ac:dyDescent="0.25">
      <c r="A619" s="1011">
        <v>44123685</v>
      </c>
      <c r="B619" s="1011" t="s">
        <v>3243</v>
      </c>
      <c r="C619" s="1011" t="s">
        <v>3244</v>
      </c>
      <c r="D619" s="1011" t="s">
        <v>3245</v>
      </c>
      <c r="E619" s="1011" t="s">
        <v>1593</v>
      </c>
      <c r="F619" s="1011" t="s">
        <v>3246</v>
      </c>
    </row>
    <row r="620" spans="1:6" x14ac:dyDescent="0.25">
      <c r="A620" s="1011">
        <v>84124619</v>
      </c>
      <c r="B620" s="1011" t="s">
        <v>3247</v>
      </c>
      <c r="C620" s="1011" t="s">
        <v>3248</v>
      </c>
      <c r="D620" s="1011" t="s">
        <v>3249</v>
      </c>
      <c r="E620" s="1011" t="s">
        <v>1593</v>
      </c>
      <c r="F620" s="1011" t="s">
        <v>2408</v>
      </c>
    </row>
    <row r="621" spans="1:6" x14ac:dyDescent="0.25">
      <c r="A621" s="1011">
        <v>94160116</v>
      </c>
      <c r="B621" s="1011" t="s">
        <v>3250</v>
      </c>
      <c r="C621" s="1011" t="s">
        <v>3251</v>
      </c>
      <c r="D621" s="1011" t="s">
        <v>2613</v>
      </c>
      <c r="E621" s="1011" t="s">
        <v>1593</v>
      </c>
      <c r="F621" s="1011" t="s">
        <v>1447</v>
      </c>
    </row>
    <row r="622" spans="1:6" x14ac:dyDescent="0.25">
      <c r="A622" s="1011">
        <v>94123890</v>
      </c>
      <c r="B622" s="1011" t="s">
        <v>3252</v>
      </c>
      <c r="C622" s="1011" t="s">
        <v>3253</v>
      </c>
      <c r="D622" s="1011" t="s">
        <v>1728</v>
      </c>
      <c r="E622" s="1011" t="s">
        <v>1593</v>
      </c>
      <c r="F622" s="1011" t="s">
        <v>1729</v>
      </c>
    </row>
    <row r="623" spans="1:6" x14ac:dyDescent="0.25">
      <c r="A623" s="1011">
        <v>34137141</v>
      </c>
      <c r="B623" s="1011" t="s">
        <v>3254</v>
      </c>
      <c r="C623" s="1011" t="s">
        <v>3255</v>
      </c>
      <c r="D623" s="1011" t="s">
        <v>1127</v>
      </c>
      <c r="E623" s="1011" t="s">
        <v>1593</v>
      </c>
      <c r="F623" s="1011" t="s">
        <v>1383</v>
      </c>
    </row>
    <row r="624" spans="1:6" x14ac:dyDescent="0.25">
      <c r="A624" s="1011">
        <v>44124220</v>
      </c>
      <c r="B624" s="1011" t="s">
        <v>3256</v>
      </c>
      <c r="C624" s="1011" t="s">
        <v>3257</v>
      </c>
      <c r="D624" s="1011" t="s">
        <v>3120</v>
      </c>
      <c r="E624" s="1011" t="s">
        <v>1593</v>
      </c>
      <c r="F624" s="1011" t="s">
        <v>3121</v>
      </c>
    </row>
    <row r="625" spans="1:6" x14ac:dyDescent="0.25">
      <c r="A625" s="1011">
        <v>84124361</v>
      </c>
      <c r="B625" s="1011" t="s">
        <v>3258</v>
      </c>
      <c r="C625" s="1011" t="s">
        <v>3259</v>
      </c>
      <c r="D625" s="1011" t="s">
        <v>1702</v>
      </c>
      <c r="E625" s="1011" t="s">
        <v>1593</v>
      </c>
      <c r="F625" s="1011" t="s">
        <v>1703</v>
      </c>
    </row>
    <row r="626" spans="1:6" x14ac:dyDescent="0.25">
      <c r="A626" s="1011">
        <v>24225781</v>
      </c>
      <c r="B626" s="1011" t="s">
        <v>3260</v>
      </c>
      <c r="C626" s="1011" t="s">
        <v>3261</v>
      </c>
      <c r="D626" s="1011" t="s">
        <v>3262</v>
      </c>
      <c r="E626" s="1011" t="s">
        <v>1588</v>
      </c>
      <c r="F626" s="1011" t="s">
        <v>3263</v>
      </c>
    </row>
    <row r="627" spans="1:6" x14ac:dyDescent="0.25">
      <c r="A627" s="1011">
        <v>74145624</v>
      </c>
      <c r="B627" s="1011" t="s">
        <v>3264</v>
      </c>
      <c r="C627" s="1011" t="s">
        <v>3265</v>
      </c>
      <c r="D627" s="1011" t="s">
        <v>1596</v>
      </c>
      <c r="E627" s="1011" t="s">
        <v>1593</v>
      </c>
      <c r="F627" s="1011" t="s">
        <v>1351</v>
      </c>
    </row>
    <row r="628" spans="1:6" x14ac:dyDescent="0.25">
      <c r="A628" s="1011">
        <v>4125829</v>
      </c>
      <c r="B628" s="1011" t="s">
        <v>3266</v>
      </c>
      <c r="C628" s="1011" t="s">
        <v>3267</v>
      </c>
      <c r="D628" s="1011" t="s">
        <v>2295</v>
      </c>
      <c r="E628" s="1011" t="s">
        <v>1612</v>
      </c>
      <c r="F628" s="1011" t="s">
        <v>2296</v>
      </c>
    </row>
    <row r="629" spans="1:6" x14ac:dyDescent="0.25">
      <c r="A629" s="1011">
        <v>34130294</v>
      </c>
      <c r="B629" s="1011" t="s">
        <v>3268</v>
      </c>
      <c r="C629" s="1011" t="s">
        <v>3269</v>
      </c>
      <c r="D629" s="1011" t="s">
        <v>2097</v>
      </c>
      <c r="E629" s="1011" t="s">
        <v>1588</v>
      </c>
      <c r="F629" s="1011" t="s">
        <v>2098</v>
      </c>
    </row>
    <row r="630" spans="1:6" x14ac:dyDescent="0.25">
      <c r="A630" s="1011">
        <v>14123384</v>
      </c>
      <c r="B630" s="1011" t="s">
        <v>3270</v>
      </c>
      <c r="C630" s="1011" t="s">
        <v>3271</v>
      </c>
      <c r="D630" s="1011" t="s">
        <v>3272</v>
      </c>
      <c r="E630" s="1011" t="s">
        <v>1593</v>
      </c>
      <c r="F630" s="1011" t="s">
        <v>3273</v>
      </c>
    </row>
    <row r="631" spans="1:6" x14ac:dyDescent="0.25">
      <c r="A631" s="1011">
        <v>34258616</v>
      </c>
      <c r="B631" s="1011" t="s">
        <v>3274</v>
      </c>
      <c r="C631" s="1011" t="s">
        <v>2766</v>
      </c>
      <c r="D631" s="1011" t="s">
        <v>1596</v>
      </c>
      <c r="E631" s="1011" t="s">
        <v>1593</v>
      </c>
      <c r="F631" s="1011" t="s">
        <v>1351</v>
      </c>
    </row>
    <row r="632" spans="1:6" x14ac:dyDescent="0.25">
      <c r="A632" s="1011">
        <v>34270074</v>
      </c>
      <c r="B632" s="1011" t="s">
        <v>3275</v>
      </c>
      <c r="C632" s="1011" t="s">
        <v>3071</v>
      </c>
      <c r="D632" s="1011" t="s">
        <v>1127</v>
      </c>
      <c r="E632" s="1011" t="s">
        <v>1593</v>
      </c>
      <c r="F632" s="1011" t="s">
        <v>1383</v>
      </c>
    </row>
    <row r="633" spans="1:6" x14ac:dyDescent="0.25">
      <c r="A633" s="1011">
        <v>54228937</v>
      </c>
      <c r="B633" s="1011" t="s">
        <v>3276</v>
      </c>
      <c r="C633" s="1011" t="s">
        <v>3277</v>
      </c>
      <c r="D633" s="1011" t="s">
        <v>1127</v>
      </c>
      <c r="E633" s="1011" t="s">
        <v>1593</v>
      </c>
      <c r="F633" s="1011" t="s">
        <v>1445</v>
      </c>
    </row>
    <row r="634" spans="1:6" x14ac:dyDescent="0.25">
      <c r="A634" s="1011">
        <v>74155235</v>
      </c>
      <c r="B634" s="1011" t="s">
        <v>3278</v>
      </c>
      <c r="C634" s="1011" t="s">
        <v>3279</v>
      </c>
      <c r="D634" s="1011" t="s">
        <v>1658</v>
      </c>
      <c r="E634" s="1011" t="s">
        <v>1593</v>
      </c>
      <c r="F634" s="1011" t="s">
        <v>1659</v>
      </c>
    </row>
    <row r="635" spans="1:6" x14ac:dyDescent="0.25">
      <c r="A635" s="1011">
        <v>14125488</v>
      </c>
      <c r="B635" s="1011" t="s">
        <v>3280</v>
      </c>
      <c r="C635" s="1011" t="s">
        <v>3281</v>
      </c>
      <c r="D635" s="1011" t="s">
        <v>1125</v>
      </c>
      <c r="E635" s="1011" t="s">
        <v>1588</v>
      </c>
      <c r="F635" s="1011" t="s">
        <v>2782</v>
      </c>
    </row>
    <row r="636" spans="1:6" x14ac:dyDescent="0.25">
      <c r="A636" s="1011">
        <v>64124456</v>
      </c>
      <c r="B636" s="1011" t="s">
        <v>3282</v>
      </c>
      <c r="C636" s="1011" t="s">
        <v>3283</v>
      </c>
      <c r="D636" s="1011" t="s">
        <v>2511</v>
      </c>
      <c r="E636" s="1011" t="s">
        <v>1583</v>
      </c>
      <c r="F636" s="1011" t="s">
        <v>2512</v>
      </c>
    </row>
    <row r="637" spans="1:6" x14ac:dyDescent="0.25">
      <c r="A637" s="1011">
        <v>14124366</v>
      </c>
      <c r="B637" s="1011" t="s">
        <v>3284</v>
      </c>
      <c r="C637" s="1011" t="s">
        <v>3285</v>
      </c>
      <c r="D637" s="1011" t="s">
        <v>1725</v>
      </c>
      <c r="E637" s="1011" t="s">
        <v>1593</v>
      </c>
      <c r="F637" s="1011" t="s">
        <v>1413</v>
      </c>
    </row>
    <row r="638" spans="1:6" x14ac:dyDescent="0.25">
      <c r="A638" s="1011">
        <v>64123334</v>
      </c>
      <c r="B638" s="1011" t="s">
        <v>3286</v>
      </c>
      <c r="C638" s="1011" t="s">
        <v>3287</v>
      </c>
      <c r="D638" s="1011" t="s">
        <v>2649</v>
      </c>
      <c r="E638" s="1011" t="s">
        <v>1593</v>
      </c>
      <c r="F638" s="1011" t="s">
        <v>2650</v>
      </c>
    </row>
    <row r="639" spans="1:6" x14ac:dyDescent="0.25">
      <c r="A639" s="1011">
        <v>24184020</v>
      </c>
      <c r="B639" s="1011" t="s">
        <v>3288</v>
      </c>
      <c r="C639" s="1011" t="s">
        <v>3289</v>
      </c>
      <c r="D639" s="1011" t="s">
        <v>1599</v>
      </c>
      <c r="E639" s="1011" t="s">
        <v>1593</v>
      </c>
      <c r="F639" s="1011" t="s">
        <v>1377</v>
      </c>
    </row>
    <row r="640" spans="1:6" x14ac:dyDescent="0.25">
      <c r="A640" s="1011">
        <v>54181029</v>
      </c>
      <c r="B640" s="1011" t="s">
        <v>3290</v>
      </c>
      <c r="C640" s="1011" t="s">
        <v>3261</v>
      </c>
      <c r="D640" s="1011" t="s">
        <v>3262</v>
      </c>
      <c r="E640" s="1011" t="s">
        <v>1588</v>
      </c>
      <c r="F640" s="1011" t="s">
        <v>3263</v>
      </c>
    </row>
    <row r="641" spans="1:6" x14ac:dyDescent="0.25">
      <c r="A641" s="1011">
        <v>24123408</v>
      </c>
      <c r="B641" s="1011" t="s">
        <v>3291</v>
      </c>
      <c r="C641" s="1011" t="s">
        <v>3292</v>
      </c>
      <c r="D641" s="1011" t="s">
        <v>1728</v>
      </c>
      <c r="E641" s="1011" t="s">
        <v>1593</v>
      </c>
      <c r="F641" s="1011" t="s">
        <v>1729</v>
      </c>
    </row>
    <row r="642" spans="1:6" x14ac:dyDescent="0.25">
      <c r="A642" s="1011">
        <v>4125431</v>
      </c>
      <c r="B642" s="1011" t="s">
        <v>3293</v>
      </c>
      <c r="C642" s="1011" t="s">
        <v>3294</v>
      </c>
      <c r="D642" s="1011" t="s">
        <v>72</v>
      </c>
      <c r="E642" s="1011" t="s">
        <v>1612</v>
      </c>
      <c r="F642" s="1011" t="s">
        <v>1749</v>
      </c>
    </row>
    <row r="643" spans="1:6" x14ac:dyDescent="0.25">
      <c r="A643" s="1011">
        <v>44152874</v>
      </c>
      <c r="B643" s="1011" t="s">
        <v>3295</v>
      </c>
      <c r="C643" s="1011" t="s">
        <v>3296</v>
      </c>
      <c r="D643" s="1011" t="s">
        <v>2398</v>
      </c>
      <c r="E643" s="1011" t="s">
        <v>1593</v>
      </c>
      <c r="F643" s="1011" t="s">
        <v>2399</v>
      </c>
    </row>
    <row r="644" spans="1:6" x14ac:dyDescent="0.25">
      <c r="A644" s="1011">
        <v>54125620</v>
      </c>
      <c r="B644" s="1011" t="s">
        <v>3297</v>
      </c>
      <c r="C644" s="1011" t="s">
        <v>3298</v>
      </c>
      <c r="D644" s="1011" t="s">
        <v>1125</v>
      </c>
      <c r="E644" s="1011" t="s">
        <v>1588</v>
      </c>
      <c r="F644" s="1011" t="s">
        <v>1361</v>
      </c>
    </row>
    <row r="645" spans="1:6" x14ac:dyDescent="0.25">
      <c r="A645" s="1011">
        <v>64174485</v>
      </c>
      <c r="B645" s="1011" t="s">
        <v>3299</v>
      </c>
      <c r="C645" s="1011" t="s">
        <v>3300</v>
      </c>
      <c r="D645" s="1011" t="s">
        <v>2206</v>
      </c>
      <c r="E645" s="1011" t="s">
        <v>1593</v>
      </c>
      <c r="F645" s="1011" t="s">
        <v>2207</v>
      </c>
    </row>
    <row r="646" spans="1:6" x14ac:dyDescent="0.25">
      <c r="A646" s="1011">
        <v>64123961</v>
      </c>
      <c r="B646" s="1011" t="s">
        <v>3301</v>
      </c>
      <c r="C646" s="1011" t="s">
        <v>3302</v>
      </c>
      <c r="D646" s="1011" t="s">
        <v>1602</v>
      </c>
      <c r="E646" s="1011" t="s">
        <v>1593</v>
      </c>
      <c r="F646" s="1011" t="s">
        <v>1417</v>
      </c>
    </row>
    <row r="647" spans="1:6" x14ac:dyDescent="0.25">
      <c r="A647" s="1011">
        <v>24246837</v>
      </c>
      <c r="B647" s="1011" t="s">
        <v>3303</v>
      </c>
      <c r="C647" s="1011" t="s">
        <v>3304</v>
      </c>
      <c r="D647" s="1011" t="s">
        <v>3305</v>
      </c>
      <c r="E647" s="1011" t="s">
        <v>1588</v>
      </c>
      <c r="F647" s="1011" t="s">
        <v>3306</v>
      </c>
    </row>
    <row r="648" spans="1:6" x14ac:dyDescent="0.25">
      <c r="A648" s="1011">
        <v>74126053</v>
      </c>
      <c r="B648" s="1011" t="s">
        <v>3307</v>
      </c>
      <c r="C648" s="1011" t="s">
        <v>3308</v>
      </c>
      <c r="D648" s="1011" t="s">
        <v>1735</v>
      </c>
      <c r="E648" s="1011" t="s">
        <v>1588</v>
      </c>
      <c r="F648" s="1011" t="s">
        <v>1736</v>
      </c>
    </row>
    <row r="649" spans="1:6" x14ac:dyDescent="0.25">
      <c r="A649" s="1011">
        <v>34125203</v>
      </c>
      <c r="B649" s="1011" t="s">
        <v>3309</v>
      </c>
      <c r="C649" s="1011" t="s">
        <v>3310</v>
      </c>
      <c r="D649" s="1011" t="s">
        <v>2530</v>
      </c>
      <c r="E649" s="1011" t="s">
        <v>1583</v>
      </c>
      <c r="F649" s="1011" t="s">
        <v>1379</v>
      </c>
    </row>
    <row r="650" spans="1:6" x14ac:dyDescent="0.25">
      <c r="A650" s="1011">
        <v>4224515</v>
      </c>
      <c r="B650" s="1011" t="s">
        <v>3311</v>
      </c>
      <c r="C650" s="1011" t="s">
        <v>3312</v>
      </c>
      <c r="D650" s="1011" t="s">
        <v>2313</v>
      </c>
      <c r="E650" s="1011" t="s">
        <v>1588</v>
      </c>
      <c r="F650" s="1011" t="s">
        <v>1347</v>
      </c>
    </row>
    <row r="651" spans="1:6" x14ac:dyDescent="0.25">
      <c r="A651" s="1011">
        <v>14123657</v>
      </c>
      <c r="B651" s="1011" t="s">
        <v>3313</v>
      </c>
      <c r="C651" s="1011" t="s">
        <v>3314</v>
      </c>
      <c r="D651" s="1011" t="s">
        <v>1127</v>
      </c>
      <c r="E651" s="1011" t="s">
        <v>1593</v>
      </c>
      <c r="F651" s="1011" t="s">
        <v>1449</v>
      </c>
    </row>
    <row r="652" spans="1:6" x14ac:dyDescent="0.25">
      <c r="A652" s="1011">
        <v>64125545</v>
      </c>
      <c r="B652" s="1011" t="s">
        <v>3315</v>
      </c>
      <c r="C652" s="1011" t="s">
        <v>3316</v>
      </c>
      <c r="D652" s="1011" t="s">
        <v>72</v>
      </c>
      <c r="E652" s="1011" t="s">
        <v>1612</v>
      </c>
      <c r="F652" s="1011" t="s">
        <v>3317</v>
      </c>
    </row>
    <row r="653" spans="1:6" x14ac:dyDescent="0.25">
      <c r="A653" s="1011">
        <v>34242040</v>
      </c>
      <c r="B653" s="1011" t="s">
        <v>3318</v>
      </c>
      <c r="C653" s="1011" t="s">
        <v>3319</v>
      </c>
      <c r="D653" s="1011" t="s">
        <v>3217</v>
      </c>
      <c r="E653" s="1011" t="s">
        <v>1583</v>
      </c>
      <c r="F653" s="1011" t="s">
        <v>3218</v>
      </c>
    </row>
    <row r="654" spans="1:6" x14ac:dyDescent="0.25">
      <c r="A654" s="1011">
        <v>64159106</v>
      </c>
      <c r="B654" s="1011" t="s">
        <v>3320</v>
      </c>
      <c r="C654" s="1011" t="s">
        <v>3321</v>
      </c>
      <c r="D654" s="1011" t="s">
        <v>2785</v>
      </c>
      <c r="E654" s="1011" t="s">
        <v>1593</v>
      </c>
      <c r="F654" s="1011" t="s">
        <v>1351</v>
      </c>
    </row>
    <row r="655" spans="1:6" x14ac:dyDescent="0.25">
      <c r="A655" s="1011">
        <v>74125105</v>
      </c>
      <c r="B655" s="1011" t="s">
        <v>3322</v>
      </c>
      <c r="C655" s="1011" t="s">
        <v>3323</v>
      </c>
      <c r="D655" s="1011" t="s">
        <v>2776</v>
      </c>
      <c r="E655" s="1011" t="s">
        <v>1583</v>
      </c>
      <c r="F655" s="1011" t="s">
        <v>1343</v>
      </c>
    </row>
    <row r="656" spans="1:6" x14ac:dyDescent="0.25">
      <c r="A656" s="1011">
        <v>14124077</v>
      </c>
      <c r="B656" s="1011" t="s">
        <v>3324</v>
      </c>
      <c r="C656" s="1011" t="s">
        <v>3325</v>
      </c>
      <c r="D656" s="1011" t="s">
        <v>2238</v>
      </c>
      <c r="E656" s="1011" t="s">
        <v>1593</v>
      </c>
      <c r="F656" s="1011" t="s">
        <v>2239</v>
      </c>
    </row>
    <row r="657" spans="1:6" x14ac:dyDescent="0.25">
      <c r="A657" s="1011">
        <v>54123765</v>
      </c>
      <c r="B657" s="1011" t="s">
        <v>3326</v>
      </c>
      <c r="C657" s="1011" t="s">
        <v>3327</v>
      </c>
      <c r="D657" s="1011" t="s">
        <v>1127</v>
      </c>
      <c r="E657" s="1011" t="s">
        <v>1593</v>
      </c>
      <c r="F657" s="1011" t="s">
        <v>1383</v>
      </c>
    </row>
    <row r="658" spans="1:6" x14ac:dyDescent="0.25">
      <c r="A658" s="1011">
        <v>4162699</v>
      </c>
      <c r="B658" s="1011" t="s">
        <v>3328</v>
      </c>
      <c r="C658" s="1011" t="s">
        <v>3329</v>
      </c>
      <c r="D658" s="1011" t="s">
        <v>3330</v>
      </c>
      <c r="E658" s="1011" t="s">
        <v>1588</v>
      </c>
      <c r="F658" s="1011" t="s">
        <v>3331</v>
      </c>
    </row>
    <row r="659" spans="1:6" x14ac:dyDescent="0.25">
      <c r="A659" s="1011">
        <v>4125670</v>
      </c>
      <c r="B659" s="1011" t="s">
        <v>3332</v>
      </c>
      <c r="C659" s="1011" t="s">
        <v>3333</v>
      </c>
      <c r="D659" s="1011" t="s">
        <v>3334</v>
      </c>
      <c r="E659" s="1011" t="s">
        <v>1588</v>
      </c>
      <c r="F659" s="1011" t="s">
        <v>3335</v>
      </c>
    </row>
    <row r="660" spans="1:6" x14ac:dyDescent="0.25">
      <c r="A660" s="1011">
        <v>64125800</v>
      </c>
      <c r="B660" s="1011" t="s">
        <v>3336</v>
      </c>
      <c r="C660" s="1011" t="s">
        <v>3337</v>
      </c>
      <c r="D660" s="1011" t="s">
        <v>1668</v>
      </c>
      <c r="E660" s="1011" t="s">
        <v>1588</v>
      </c>
      <c r="F660" s="1011" t="s">
        <v>1669</v>
      </c>
    </row>
    <row r="661" spans="1:6" x14ac:dyDescent="0.25">
      <c r="A661" s="1011">
        <v>44125581</v>
      </c>
      <c r="B661" s="1011" t="s">
        <v>3338</v>
      </c>
      <c r="C661" s="1011" t="s">
        <v>3339</v>
      </c>
      <c r="D661" s="1011" t="s">
        <v>3340</v>
      </c>
      <c r="E661" s="1011" t="s">
        <v>1588</v>
      </c>
      <c r="F661" s="1011" t="s">
        <v>1437</v>
      </c>
    </row>
    <row r="662" spans="1:6" x14ac:dyDescent="0.25">
      <c r="A662" s="1011">
        <v>64225782</v>
      </c>
      <c r="B662" s="1011" t="s">
        <v>3341</v>
      </c>
      <c r="C662" s="1011" t="s">
        <v>3342</v>
      </c>
      <c r="D662" s="1011" t="s">
        <v>2007</v>
      </c>
      <c r="E662" s="1011" t="s">
        <v>1588</v>
      </c>
      <c r="F662" s="1011" t="s">
        <v>2008</v>
      </c>
    </row>
    <row r="663" spans="1:6" x14ac:dyDescent="0.25">
      <c r="A663" s="1011">
        <v>44124659</v>
      </c>
      <c r="B663" s="1011" t="s">
        <v>3343</v>
      </c>
      <c r="C663" s="1011" t="s">
        <v>3344</v>
      </c>
      <c r="D663" s="1011" t="s">
        <v>1857</v>
      </c>
      <c r="E663" s="1011" t="s">
        <v>1593</v>
      </c>
      <c r="F663" s="1011" t="s">
        <v>1858</v>
      </c>
    </row>
    <row r="664" spans="1:6" x14ac:dyDescent="0.25">
      <c r="A664" s="1011">
        <v>24123531</v>
      </c>
      <c r="B664" s="1011" t="s">
        <v>3345</v>
      </c>
      <c r="C664" s="1011" t="s">
        <v>3346</v>
      </c>
      <c r="D664" s="1011" t="s">
        <v>1127</v>
      </c>
      <c r="E664" s="1011" t="s">
        <v>1593</v>
      </c>
      <c r="F664" s="1011" t="s">
        <v>1383</v>
      </c>
    </row>
    <row r="665" spans="1:6" x14ac:dyDescent="0.25">
      <c r="A665" s="1011">
        <v>94181948</v>
      </c>
      <c r="B665" s="1011" t="s">
        <v>3347</v>
      </c>
      <c r="C665" s="1011" t="s">
        <v>3348</v>
      </c>
      <c r="D665" s="1011" t="s">
        <v>1808</v>
      </c>
      <c r="E665" s="1011" t="s">
        <v>1588</v>
      </c>
      <c r="F665" s="1011" t="s">
        <v>1809</v>
      </c>
    </row>
    <row r="666" spans="1:6" x14ac:dyDescent="0.25">
      <c r="A666" s="1011">
        <v>54123385</v>
      </c>
      <c r="B666" s="1011" t="s">
        <v>3349</v>
      </c>
      <c r="C666" s="1011" t="s">
        <v>3350</v>
      </c>
      <c r="D666" s="1011" t="s">
        <v>2125</v>
      </c>
      <c r="E666" s="1011" t="s">
        <v>1593</v>
      </c>
      <c r="F666" s="1011" t="s">
        <v>2126</v>
      </c>
    </row>
    <row r="667" spans="1:6" x14ac:dyDescent="0.25">
      <c r="A667" s="1011">
        <v>74125501</v>
      </c>
      <c r="B667" s="1011" t="s">
        <v>3351</v>
      </c>
      <c r="C667" s="1011" t="s">
        <v>3352</v>
      </c>
      <c r="D667" s="1011" t="s">
        <v>2295</v>
      </c>
      <c r="E667" s="1011" t="s">
        <v>1612</v>
      </c>
      <c r="F667" s="1011" t="s">
        <v>2296</v>
      </c>
    </row>
    <row r="668" spans="1:6" x14ac:dyDescent="0.25">
      <c r="A668" s="1011">
        <v>34125799</v>
      </c>
      <c r="B668" s="1011" t="s">
        <v>3353</v>
      </c>
      <c r="C668" s="1011" t="s">
        <v>3354</v>
      </c>
      <c r="D668" s="1011" t="s">
        <v>2021</v>
      </c>
      <c r="E668" s="1011" t="s">
        <v>1588</v>
      </c>
      <c r="F668" s="1011" t="s">
        <v>2022</v>
      </c>
    </row>
    <row r="669" spans="1:6" x14ac:dyDescent="0.25">
      <c r="A669" s="1011">
        <v>34124768</v>
      </c>
      <c r="B669" s="1011" t="s">
        <v>3355</v>
      </c>
      <c r="C669" s="1011" t="s">
        <v>3356</v>
      </c>
      <c r="D669" s="1011" t="s">
        <v>2530</v>
      </c>
      <c r="E669" s="1011" t="s">
        <v>1583</v>
      </c>
      <c r="F669" s="1011" t="s">
        <v>1379</v>
      </c>
    </row>
    <row r="670" spans="1:6" x14ac:dyDescent="0.25">
      <c r="A670" s="1011">
        <v>74124645</v>
      </c>
      <c r="B670" s="1011" t="s">
        <v>3357</v>
      </c>
      <c r="C670" s="1011" t="s">
        <v>3358</v>
      </c>
      <c r="D670" s="1011" t="s">
        <v>1127</v>
      </c>
      <c r="E670" s="1011" t="s">
        <v>1593</v>
      </c>
      <c r="F670" s="1011" t="s">
        <v>1449</v>
      </c>
    </row>
    <row r="671" spans="1:6" x14ac:dyDescent="0.25">
      <c r="A671" s="1011">
        <v>84126069</v>
      </c>
      <c r="B671" s="1011" t="s">
        <v>3359</v>
      </c>
      <c r="C671" s="1011" t="s">
        <v>3360</v>
      </c>
      <c r="D671" s="1011" t="s">
        <v>1125</v>
      </c>
      <c r="E671" s="1011" t="s">
        <v>1588</v>
      </c>
      <c r="F671" s="1011" t="s">
        <v>2944</v>
      </c>
    </row>
    <row r="672" spans="1:6" x14ac:dyDescent="0.25">
      <c r="A672" s="1011">
        <v>14125686</v>
      </c>
      <c r="B672" s="1011" t="s">
        <v>3361</v>
      </c>
      <c r="C672" s="1011" t="s">
        <v>3362</v>
      </c>
      <c r="D672" s="1011" t="s">
        <v>1125</v>
      </c>
      <c r="E672" s="1011" t="s">
        <v>1588</v>
      </c>
      <c r="F672" s="1011" t="s">
        <v>1770</v>
      </c>
    </row>
    <row r="673" spans="1:6" x14ac:dyDescent="0.25">
      <c r="A673" s="1011">
        <v>94125226</v>
      </c>
      <c r="B673" s="1011" t="s">
        <v>3363</v>
      </c>
      <c r="C673" s="1011" t="s">
        <v>3364</v>
      </c>
      <c r="D673" s="1011" t="s">
        <v>3081</v>
      </c>
      <c r="E673" s="1011" t="s">
        <v>1612</v>
      </c>
      <c r="F673" s="1011" t="s">
        <v>3082</v>
      </c>
    </row>
    <row r="674" spans="1:6" x14ac:dyDescent="0.25">
      <c r="A674" s="1011">
        <v>14224646</v>
      </c>
      <c r="B674" s="1011" t="s">
        <v>3365</v>
      </c>
      <c r="C674" s="1011" t="s">
        <v>3366</v>
      </c>
      <c r="D674" s="1011" t="s">
        <v>2141</v>
      </c>
      <c r="E674" s="1011" t="s">
        <v>1593</v>
      </c>
      <c r="F674" s="1011" t="s">
        <v>2142</v>
      </c>
    </row>
    <row r="675" spans="1:6" x14ac:dyDescent="0.25">
      <c r="A675" s="1011">
        <v>4125720</v>
      </c>
      <c r="B675" s="1011" t="s">
        <v>3367</v>
      </c>
      <c r="C675" s="1011" t="s">
        <v>3368</v>
      </c>
      <c r="D675" s="1011" t="s">
        <v>3369</v>
      </c>
      <c r="E675" s="1011" t="s">
        <v>1588</v>
      </c>
      <c r="F675" s="1011" t="s">
        <v>3370</v>
      </c>
    </row>
    <row r="676" spans="1:6" x14ac:dyDescent="0.25">
      <c r="A676" s="1011">
        <v>84171636</v>
      </c>
      <c r="B676" s="1011" t="s">
        <v>3371</v>
      </c>
      <c r="C676" s="1011" t="s">
        <v>3372</v>
      </c>
      <c r="D676" s="1011" t="s">
        <v>2133</v>
      </c>
      <c r="E676" s="1011" t="s">
        <v>1593</v>
      </c>
      <c r="F676" s="1011" t="s">
        <v>2134</v>
      </c>
    </row>
    <row r="677" spans="1:6" x14ac:dyDescent="0.25">
      <c r="A677" s="1011">
        <v>74124181</v>
      </c>
      <c r="B677" s="1011" t="s">
        <v>3373</v>
      </c>
      <c r="C677" s="1011" t="s">
        <v>3374</v>
      </c>
      <c r="D677" s="1011" t="s">
        <v>1127</v>
      </c>
      <c r="E677" s="1011" t="s">
        <v>1593</v>
      </c>
      <c r="F677" s="1011" t="s">
        <v>1461</v>
      </c>
    </row>
    <row r="678" spans="1:6" x14ac:dyDescent="0.25">
      <c r="A678" s="1011">
        <v>24124836</v>
      </c>
      <c r="B678" s="1011" t="s">
        <v>3375</v>
      </c>
      <c r="C678" s="1011" t="s">
        <v>3376</v>
      </c>
      <c r="D678" s="1011" t="s">
        <v>3377</v>
      </c>
      <c r="E678" s="1011" t="s">
        <v>1583</v>
      </c>
      <c r="F678" s="1011" t="s">
        <v>3378</v>
      </c>
    </row>
    <row r="679" spans="1:6" x14ac:dyDescent="0.25">
      <c r="A679" s="1011">
        <v>24125296</v>
      </c>
      <c r="B679" s="1011" t="s">
        <v>3379</v>
      </c>
      <c r="C679" s="1011" t="s">
        <v>3380</v>
      </c>
      <c r="D679" s="1011" t="s">
        <v>3381</v>
      </c>
      <c r="E679" s="1011" t="s">
        <v>1588</v>
      </c>
      <c r="F679" s="1011" t="s">
        <v>3382</v>
      </c>
    </row>
    <row r="680" spans="1:6" x14ac:dyDescent="0.25">
      <c r="A680" s="1011">
        <v>84123884</v>
      </c>
      <c r="B680" s="1011" t="s">
        <v>3383</v>
      </c>
      <c r="C680" s="1011" t="s">
        <v>3384</v>
      </c>
      <c r="D680" s="1011" t="s">
        <v>1812</v>
      </c>
      <c r="E680" s="1011" t="s">
        <v>1593</v>
      </c>
      <c r="F680" s="1011" t="s">
        <v>1385</v>
      </c>
    </row>
    <row r="681" spans="1:6" x14ac:dyDescent="0.25">
      <c r="A681" s="1011">
        <v>44148781</v>
      </c>
      <c r="B681" s="1011" t="s">
        <v>3385</v>
      </c>
      <c r="C681" s="1011" t="s">
        <v>3386</v>
      </c>
      <c r="D681" s="1011" t="s">
        <v>2380</v>
      </c>
      <c r="E681" s="1011" t="s">
        <v>1593</v>
      </c>
      <c r="F681" s="1011" t="s">
        <v>2381</v>
      </c>
    </row>
    <row r="682" spans="1:6" x14ac:dyDescent="0.25">
      <c r="A682" s="1011">
        <v>14132864</v>
      </c>
      <c r="B682" s="1011" t="s">
        <v>3387</v>
      </c>
      <c r="C682" s="1011" t="s">
        <v>3388</v>
      </c>
      <c r="D682" s="1011" t="s">
        <v>3389</v>
      </c>
      <c r="E682" s="1011" t="s">
        <v>1588</v>
      </c>
      <c r="F682" s="1011" t="s">
        <v>1467</v>
      </c>
    </row>
    <row r="683" spans="1:6" x14ac:dyDescent="0.25">
      <c r="A683" s="1011">
        <v>94126166</v>
      </c>
      <c r="B683" s="1011" t="s">
        <v>2931</v>
      </c>
      <c r="C683" s="1011" t="s">
        <v>3390</v>
      </c>
      <c r="D683" s="1011" t="s">
        <v>1125</v>
      </c>
      <c r="E683" s="1011" t="s">
        <v>1588</v>
      </c>
      <c r="F683" s="1011" t="s">
        <v>1361</v>
      </c>
    </row>
    <row r="684" spans="1:6" x14ac:dyDescent="0.25">
      <c r="A684" s="1011">
        <v>44232544</v>
      </c>
      <c r="B684" s="1011" t="s">
        <v>3391</v>
      </c>
      <c r="C684" s="1011" t="s">
        <v>3392</v>
      </c>
      <c r="D684" s="1011" t="s">
        <v>1125</v>
      </c>
      <c r="E684" s="1011" t="s">
        <v>1588</v>
      </c>
      <c r="F684" s="1011" t="s">
        <v>1619</v>
      </c>
    </row>
    <row r="685" spans="1:6" x14ac:dyDescent="0.25">
      <c r="A685" s="1011">
        <v>74124363</v>
      </c>
      <c r="B685" s="1011" t="s">
        <v>3393</v>
      </c>
      <c r="C685" s="1011" t="s">
        <v>3394</v>
      </c>
      <c r="D685" s="1011" t="s">
        <v>1767</v>
      </c>
      <c r="E685" s="1011" t="s">
        <v>1593</v>
      </c>
      <c r="F685" s="1011" t="s">
        <v>1419</v>
      </c>
    </row>
    <row r="686" spans="1:6" x14ac:dyDescent="0.25">
      <c r="A686" s="1011">
        <v>54125331</v>
      </c>
      <c r="B686" s="1011" t="s">
        <v>3395</v>
      </c>
      <c r="C686" s="1011" t="s">
        <v>3396</v>
      </c>
      <c r="D686" s="1011" t="s">
        <v>72</v>
      </c>
      <c r="E686" s="1011" t="s">
        <v>1612</v>
      </c>
      <c r="F686" s="1011" t="s">
        <v>1749</v>
      </c>
    </row>
    <row r="687" spans="1:6" x14ac:dyDescent="0.25">
      <c r="A687" s="1011">
        <v>44125391</v>
      </c>
      <c r="B687" s="1011" t="s">
        <v>3397</v>
      </c>
      <c r="C687" s="1011" t="s">
        <v>3398</v>
      </c>
      <c r="D687" s="1011" t="s">
        <v>2313</v>
      </c>
      <c r="E687" s="1011" t="s">
        <v>1588</v>
      </c>
      <c r="F687" s="1011" t="s">
        <v>1347</v>
      </c>
    </row>
    <row r="688" spans="1:6" x14ac:dyDescent="0.25">
      <c r="A688" s="1011">
        <v>54125919</v>
      </c>
      <c r="B688" s="1011" t="s">
        <v>3399</v>
      </c>
      <c r="C688" s="1011" t="s">
        <v>3400</v>
      </c>
      <c r="D688" s="1011" t="s">
        <v>1125</v>
      </c>
      <c r="E688" s="1011" t="s">
        <v>1588</v>
      </c>
      <c r="F688" s="1011" t="s">
        <v>1361</v>
      </c>
    </row>
    <row r="689" spans="1:6" x14ac:dyDescent="0.25">
      <c r="A689" s="1011">
        <v>54147624</v>
      </c>
      <c r="B689" s="1011" t="s">
        <v>3401</v>
      </c>
      <c r="C689" s="1011" t="s">
        <v>3402</v>
      </c>
      <c r="D689" s="1011" t="s">
        <v>1909</v>
      </c>
      <c r="E689" s="1011" t="s">
        <v>1588</v>
      </c>
      <c r="F689" s="1011" t="s">
        <v>1910</v>
      </c>
    </row>
    <row r="690" spans="1:6" x14ac:dyDescent="0.25">
      <c r="A690" s="1011">
        <v>14137830</v>
      </c>
      <c r="B690" s="1011" t="s">
        <v>3403</v>
      </c>
      <c r="C690" s="1011" t="s">
        <v>3404</v>
      </c>
      <c r="D690" s="1011" t="s">
        <v>1127</v>
      </c>
      <c r="E690" s="1011" t="s">
        <v>1593</v>
      </c>
      <c r="F690" s="1011" t="s">
        <v>1461</v>
      </c>
    </row>
    <row r="691" spans="1:6" x14ac:dyDescent="0.25">
      <c r="A691" s="1011">
        <v>74124199</v>
      </c>
      <c r="B691" s="1011" t="s">
        <v>3405</v>
      </c>
      <c r="C691" s="1011" t="s">
        <v>3406</v>
      </c>
      <c r="D691" s="1011" t="s">
        <v>2246</v>
      </c>
      <c r="E691" s="1011" t="s">
        <v>1593</v>
      </c>
      <c r="F691" s="1011" t="s">
        <v>1431</v>
      </c>
    </row>
    <row r="692" spans="1:6" x14ac:dyDescent="0.25">
      <c r="A692" s="1011">
        <v>3822533</v>
      </c>
      <c r="B692" s="1011" t="s">
        <v>3407</v>
      </c>
      <c r="C692" s="1011" t="s">
        <v>3408</v>
      </c>
      <c r="D692" s="1011" t="s">
        <v>1725</v>
      </c>
      <c r="E692" s="1011" t="s">
        <v>1593</v>
      </c>
      <c r="F692" s="1011" t="s">
        <v>1413</v>
      </c>
    </row>
    <row r="693" spans="1:6" x14ac:dyDescent="0.25">
      <c r="A693" s="1011">
        <v>64125677</v>
      </c>
      <c r="B693" s="1011" t="s">
        <v>3409</v>
      </c>
      <c r="C693" s="1011" t="s">
        <v>3410</v>
      </c>
      <c r="D693" s="1011" t="s">
        <v>1909</v>
      </c>
      <c r="E693" s="1011" t="s">
        <v>1588</v>
      </c>
      <c r="F693" s="1011" t="s">
        <v>1910</v>
      </c>
    </row>
    <row r="694" spans="1:6" x14ac:dyDescent="0.25">
      <c r="A694" s="1011">
        <v>94125341</v>
      </c>
      <c r="B694" s="1011" t="s">
        <v>3411</v>
      </c>
      <c r="C694" s="1011" t="s">
        <v>3412</v>
      </c>
      <c r="D694" s="1011" t="s">
        <v>1672</v>
      </c>
      <c r="E694" s="1011" t="s">
        <v>1593</v>
      </c>
      <c r="F694" s="1011" t="s">
        <v>1407</v>
      </c>
    </row>
    <row r="695" spans="1:6" x14ac:dyDescent="0.25">
      <c r="A695" s="1011">
        <v>14123608</v>
      </c>
      <c r="B695" s="1011" t="s">
        <v>3413</v>
      </c>
      <c r="C695" s="1011" t="s">
        <v>3414</v>
      </c>
      <c r="D695" s="1011" t="s">
        <v>1127</v>
      </c>
      <c r="E695" s="1011" t="s">
        <v>1593</v>
      </c>
      <c r="F695" s="1011" t="s">
        <v>1445</v>
      </c>
    </row>
    <row r="696" spans="1:6" x14ac:dyDescent="0.25">
      <c r="A696" s="1011">
        <v>4124426</v>
      </c>
      <c r="B696" s="1011" t="s">
        <v>3415</v>
      </c>
      <c r="C696" s="1011" t="s">
        <v>3416</v>
      </c>
      <c r="D696" s="1011" t="s">
        <v>65</v>
      </c>
      <c r="E696" s="1011" t="s">
        <v>1583</v>
      </c>
      <c r="F696" s="1011" t="s">
        <v>3417</v>
      </c>
    </row>
    <row r="697" spans="1:6" x14ac:dyDescent="0.25">
      <c r="A697" s="1011">
        <v>64125396</v>
      </c>
      <c r="B697" s="1011" t="s">
        <v>3418</v>
      </c>
      <c r="C697" s="1011" t="s">
        <v>3419</v>
      </c>
      <c r="D697" s="1011" t="s">
        <v>1125</v>
      </c>
      <c r="E697" s="1011" t="s">
        <v>1588</v>
      </c>
      <c r="F697" s="1011" t="s">
        <v>1361</v>
      </c>
    </row>
    <row r="698" spans="1:6" x14ac:dyDescent="0.25">
      <c r="A698" s="1011">
        <v>24237463</v>
      </c>
      <c r="B698" s="1011" t="s">
        <v>1954</v>
      </c>
      <c r="C698" s="1011" t="s">
        <v>3420</v>
      </c>
      <c r="D698" s="1011" t="s">
        <v>2313</v>
      </c>
      <c r="E698" s="1011" t="s">
        <v>1588</v>
      </c>
      <c r="F698" s="1011" t="s">
        <v>1347</v>
      </c>
    </row>
    <row r="699" spans="1:6" x14ac:dyDescent="0.25">
      <c r="A699" s="1011">
        <v>14125595</v>
      </c>
      <c r="B699" s="1011" t="s">
        <v>3421</v>
      </c>
      <c r="C699" s="1011" t="s">
        <v>3422</v>
      </c>
      <c r="D699" s="1011" t="s">
        <v>1644</v>
      </c>
      <c r="E699" s="1011" t="s">
        <v>1588</v>
      </c>
      <c r="F699" s="1011" t="s">
        <v>1645</v>
      </c>
    </row>
    <row r="700" spans="1:6" x14ac:dyDescent="0.25">
      <c r="A700" s="1011">
        <v>4237152</v>
      </c>
      <c r="B700" s="1011" t="s">
        <v>3423</v>
      </c>
      <c r="C700" s="1011" t="s">
        <v>3424</v>
      </c>
      <c r="D700" s="1011" t="s">
        <v>1125</v>
      </c>
      <c r="E700" s="1011" t="s">
        <v>1588</v>
      </c>
      <c r="F700" s="1011" t="s">
        <v>2028</v>
      </c>
    </row>
    <row r="701" spans="1:6" x14ac:dyDescent="0.25">
      <c r="A701" s="1011">
        <v>64126139</v>
      </c>
      <c r="B701" s="1011" t="s">
        <v>3425</v>
      </c>
      <c r="C701" s="1011" t="s">
        <v>3426</v>
      </c>
      <c r="D701" s="1011" t="s">
        <v>2785</v>
      </c>
      <c r="E701" s="1011" t="s">
        <v>1593</v>
      </c>
      <c r="F701" s="1011" t="s">
        <v>1351</v>
      </c>
    </row>
    <row r="702" spans="1:6" x14ac:dyDescent="0.25">
      <c r="A702" s="1011">
        <v>54124037</v>
      </c>
      <c r="B702" s="1011" t="s">
        <v>3427</v>
      </c>
      <c r="C702" s="1011" t="s">
        <v>3428</v>
      </c>
      <c r="D702" s="1011" t="s">
        <v>2279</v>
      </c>
      <c r="E702" s="1011" t="s">
        <v>1583</v>
      </c>
      <c r="F702" s="1011" t="s">
        <v>2280</v>
      </c>
    </row>
    <row r="703" spans="1:6" x14ac:dyDescent="0.25">
      <c r="A703" s="1011">
        <v>34124206</v>
      </c>
      <c r="B703" s="1011" t="s">
        <v>3429</v>
      </c>
      <c r="C703" s="1011" t="s">
        <v>3430</v>
      </c>
      <c r="D703" s="1011" t="s">
        <v>2238</v>
      </c>
      <c r="E703" s="1011" t="s">
        <v>1593</v>
      </c>
      <c r="F703" s="1011" t="s">
        <v>2239</v>
      </c>
    </row>
    <row r="704" spans="1:6" x14ac:dyDescent="0.25">
      <c r="A704" s="1011">
        <v>94124021</v>
      </c>
      <c r="B704" s="1011" t="s">
        <v>3431</v>
      </c>
      <c r="C704" s="1011" t="s">
        <v>3432</v>
      </c>
      <c r="D704" s="1011" t="s">
        <v>65</v>
      </c>
      <c r="E704" s="1011" t="s">
        <v>1583</v>
      </c>
      <c r="F704" s="1011" t="s">
        <v>3417</v>
      </c>
    </row>
    <row r="705" spans="1:6" x14ac:dyDescent="0.25">
      <c r="A705" s="1011">
        <v>34162180</v>
      </c>
      <c r="B705" s="1011" t="s">
        <v>3433</v>
      </c>
      <c r="C705" s="1011" t="s">
        <v>3434</v>
      </c>
      <c r="D705" s="1011" t="s">
        <v>3435</v>
      </c>
      <c r="E705" s="1011" t="s">
        <v>1588</v>
      </c>
      <c r="F705" s="1011" t="s">
        <v>3436</v>
      </c>
    </row>
    <row r="706" spans="1:6" x14ac:dyDescent="0.25">
      <c r="A706" s="1011">
        <v>44174480</v>
      </c>
      <c r="B706" s="1011" t="s">
        <v>3437</v>
      </c>
      <c r="C706" s="1011" t="s">
        <v>3438</v>
      </c>
      <c r="D706" s="1011" t="s">
        <v>2332</v>
      </c>
      <c r="E706" s="1011" t="s">
        <v>1583</v>
      </c>
      <c r="F706" s="1011" t="s">
        <v>2333</v>
      </c>
    </row>
    <row r="707" spans="1:6" x14ac:dyDescent="0.25">
      <c r="A707" s="1011">
        <v>84145622</v>
      </c>
      <c r="B707" s="1011" t="s">
        <v>3439</v>
      </c>
      <c r="C707" s="1011" t="s">
        <v>3265</v>
      </c>
      <c r="D707" s="1011" t="s">
        <v>1596</v>
      </c>
      <c r="E707" s="1011" t="s">
        <v>1593</v>
      </c>
      <c r="F707" s="1011" t="s">
        <v>1351</v>
      </c>
    </row>
    <row r="708" spans="1:6" x14ac:dyDescent="0.25">
      <c r="A708" s="1011">
        <v>64125362</v>
      </c>
      <c r="B708" s="1011" t="s">
        <v>3440</v>
      </c>
      <c r="C708" s="1011" t="s">
        <v>3441</v>
      </c>
      <c r="D708" s="1011" t="s">
        <v>3442</v>
      </c>
      <c r="E708" s="1011" t="s">
        <v>1612</v>
      </c>
      <c r="F708" s="1011" t="s">
        <v>3443</v>
      </c>
    </row>
    <row r="709" spans="1:6" x14ac:dyDescent="0.25">
      <c r="A709" s="1011">
        <v>54124250</v>
      </c>
      <c r="B709" s="1011" t="s">
        <v>3444</v>
      </c>
      <c r="C709" s="1011" t="s">
        <v>3046</v>
      </c>
      <c r="D709" s="1011" t="s">
        <v>3047</v>
      </c>
      <c r="E709" s="1011" t="s">
        <v>1583</v>
      </c>
      <c r="F709" s="1011" t="s">
        <v>3048</v>
      </c>
    </row>
    <row r="710" spans="1:6" x14ac:dyDescent="0.25">
      <c r="A710" s="1011">
        <v>24124844</v>
      </c>
      <c r="B710" s="1011" t="s">
        <v>3445</v>
      </c>
      <c r="C710" s="1011" t="s">
        <v>3446</v>
      </c>
      <c r="D710" s="1011" t="s">
        <v>3217</v>
      </c>
      <c r="E710" s="1011" t="s">
        <v>1583</v>
      </c>
      <c r="F710" s="1011" t="s">
        <v>3218</v>
      </c>
    </row>
    <row r="711" spans="1:6" x14ac:dyDescent="0.25">
      <c r="A711" s="1011">
        <v>84123868</v>
      </c>
      <c r="B711" s="1011" t="s">
        <v>3447</v>
      </c>
      <c r="C711" s="1011" t="s">
        <v>3448</v>
      </c>
      <c r="D711" s="1011" t="s">
        <v>1602</v>
      </c>
      <c r="E711" s="1011" t="s">
        <v>1593</v>
      </c>
      <c r="F711" s="1011" t="s">
        <v>1417</v>
      </c>
    </row>
    <row r="712" spans="1:6" x14ac:dyDescent="0.25">
      <c r="A712" s="1011">
        <v>94125325</v>
      </c>
      <c r="B712" s="1011" t="s">
        <v>3449</v>
      </c>
      <c r="C712" s="1011" t="s">
        <v>3450</v>
      </c>
      <c r="D712" s="1011" t="s">
        <v>1865</v>
      </c>
      <c r="E712" s="1011" t="s">
        <v>1588</v>
      </c>
      <c r="F712" s="1011" t="s">
        <v>1866</v>
      </c>
    </row>
    <row r="713" spans="1:6" x14ac:dyDescent="0.25">
      <c r="A713" s="1011">
        <v>44222511</v>
      </c>
      <c r="B713" s="1011" t="s">
        <v>3451</v>
      </c>
      <c r="C713" s="1011" t="s">
        <v>3452</v>
      </c>
      <c r="D713" s="1011" t="s">
        <v>1752</v>
      </c>
      <c r="E713" s="1011" t="s">
        <v>1588</v>
      </c>
      <c r="F713" s="1011" t="s">
        <v>1753</v>
      </c>
    </row>
    <row r="714" spans="1:6" x14ac:dyDescent="0.25">
      <c r="A714" s="1011">
        <v>34123455</v>
      </c>
      <c r="B714" s="1011" t="s">
        <v>3453</v>
      </c>
      <c r="C714" s="1011" t="s">
        <v>3454</v>
      </c>
      <c r="D714" s="1011" t="s">
        <v>1127</v>
      </c>
      <c r="E714" s="1011" t="s">
        <v>1593</v>
      </c>
      <c r="F714" s="1011" t="s">
        <v>1449</v>
      </c>
    </row>
    <row r="715" spans="1:6" x14ac:dyDescent="0.25">
      <c r="A715" s="1011">
        <v>94149929</v>
      </c>
      <c r="B715" s="1011" t="s">
        <v>3455</v>
      </c>
      <c r="C715" s="1011" t="s">
        <v>3456</v>
      </c>
      <c r="D715" s="1011" t="s">
        <v>1125</v>
      </c>
      <c r="E715" s="1011" t="s">
        <v>1588</v>
      </c>
      <c r="F715" s="1011" t="s">
        <v>1619</v>
      </c>
    </row>
    <row r="716" spans="1:6" x14ac:dyDescent="0.25">
      <c r="A716" s="1011">
        <v>54123815</v>
      </c>
      <c r="B716" s="1011" t="s">
        <v>3457</v>
      </c>
      <c r="C716" s="1011" t="s">
        <v>3458</v>
      </c>
      <c r="D716" s="1011" t="s">
        <v>1127</v>
      </c>
      <c r="E716" s="1011" t="s">
        <v>1593</v>
      </c>
      <c r="F716" s="1011" t="s">
        <v>1449</v>
      </c>
    </row>
    <row r="717" spans="1:6" x14ac:dyDescent="0.25">
      <c r="A717" s="1011">
        <v>44126076</v>
      </c>
      <c r="B717" s="1011" t="s">
        <v>3459</v>
      </c>
      <c r="C717" s="1011" t="s">
        <v>3460</v>
      </c>
      <c r="D717" s="1011" t="s">
        <v>1125</v>
      </c>
      <c r="E717" s="1011" t="s">
        <v>1588</v>
      </c>
      <c r="F717" s="1011" t="s">
        <v>1619</v>
      </c>
    </row>
    <row r="718" spans="1:6" x14ac:dyDescent="0.25">
      <c r="A718" s="1011">
        <v>84178672</v>
      </c>
      <c r="B718" s="1011" t="s">
        <v>3461</v>
      </c>
      <c r="C718" s="1011" t="s">
        <v>3462</v>
      </c>
      <c r="D718" s="1011" t="s">
        <v>1127</v>
      </c>
      <c r="E718" s="1011" t="s">
        <v>1593</v>
      </c>
      <c r="F718" s="1011" t="s">
        <v>1383</v>
      </c>
    </row>
    <row r="719" spans="1:6" x14ac:dyDescent="0.25">
      <c r="A719" s="1011">
        <v>54123633</v>
      </c>
      <c r="B719" s="1011" t="s">
        <v>3463</v>
      </c>
      <c r="C719" s="1011" t="s">
        <v>3464</v>
      </c>
      <c r="D719" s="1011" t="s">
        <v>1127</v>
      </c>
      <c r="E719" s="1011" t="s">
        <v>1593</v>
      </c>
      <c r="F719" s="1011" t="s">
        <v>1375</v>
      </c>
    </row>
    <row r="720" spans="1:6" x14ac:dyDescent="0.25">
      <c r="A720" s="1011">
        <v>24126096</v>
      </c>
      <c r="B720" s="1011" t="s">
        <v>3465</v>
      </c>
      <c r="C720" s="1011" t="s">
        <v>3466</v>
      </c>
      <c r="D720" s="1011" t="s">
        <v>1735</v>
      </c>
      <c r="E720" s="1011" t="s">
        <v>1588</v>
      </c>
      <c r="F720" s="1011" t="s">
        <v>1736</v>
      </c>
    </row>
    <row r="721" spans="1:6" x14ac:dyDescent="0.25">
      <c r="A721" s="1011">
        <v>24124125</v>
      </c>
      <c r="B721" s="1011" t="s">
        <v>3467</v>
      </c>
      <c r="C721" s="1011" t="s">
        <v>3468</v>
      </c>
      <c r="D721" s="1011" t="s">
        <v>3469</v>
      </c>
      <c r="E721" s="1011" t="s">
        <v>1593</v>
      </c>
      <c r="F721" s="1011" t="s">
        <v>3470</v>
      </c>
    </row>
    <row r="722" spans="1:6" x14ac:dyDescent="0.25">
      <c r="A722" s="1011">
        <v>63819809</v>
      </c>
      <c r="B722" s="1011" t="s">
        <v>3471</v>
      </c>
      <c r="C722" s="1011" t="s">
        <v>3472</v>
      </c>
      <c r="D722" s="1011" t="s">
        <v>1892</v>
      </c>
      <c r="E722" s="1011" t="s">
        <v>1583</v>
      </c>
      <c r="F722" s="1011" t="s">
        <v>1371</v>
      </c>
    </row>
    <row r="723" spans="1:6" x14ac:dyDescent="0.25">
      <c r="A723" s="1011">
        <v>74239856</v>
      </c>
      <c r="B723" s="1011" t="s">
        <v>3473</v>
      </c>
      <c r="C723" s="1011" t="s">
        <v>3474</v>
      </c>
      <c r="D723" s="1011" t="s">
        <v>2279</v>
      </c>
      <c r="E723" s="1011" t="s">
        <v>1583</v>
      </c>
      <c r="F723" s="1011" t="s">
        <v>2280</v>
      </c>
    </row>
    <row r="724" spans="1:6" x14ac:dyDescent="0.25">
      <c r="A724" s="1011">
        <v>64123789</v>
      </c>
      <c r="B724" s="1011" t="s">
        <v>3475</v>
      </c>
      <c r="C724" s="1011" t="s">
        <v>3476</v>
      </c>
      <c r="D724" s="1011" t="s">
        <v>1685</v>
      </c>
      <c r="E724" s="1011" t="s">
        <v>1593</v>
      </c>
      <c r="F724" s="1011" t="s">
        <v>1469</v>
      </c>
    </row>
    <row r="725" spans="1:6" x14ac:dyDescent="0.25">
      <c r="A725" s="1011">
        <v>34125393</v>
      </c>
      <c r="B725" s="1011" t="s">
        <v>3477</v>
      </c>
      <c r="C725" s="1011" t="s">
        <v>3478</v>
      </c>
      <c r="D725" s="1011" t="s">
        <v>3479</v>
      </c>
      <c r="E725" s="1011" t="s">
        <v>1612</v>
      </c>
      <c r="F725" s="1011" t="s">
        <v>3480</v>
      </c>
    </row>
    <row r="726" spans="1:6" x14ac:dyDescent="0.25">
      <c r="A726" s="1011">
        <v>74170325</v>
      </c>
      <c r="B726" s="1011" t="s">
        <v>3481</v>
      </c>
      <c r="C726" s="1011" t="s">
        <v>3482</v>
      </c>
      <c r="D726" s="1011" t="s">
        <v>1125</v>
      </c>
      <c r="E726" s="1011" t="s">
        <v>1588</v>
      </c>
      <c r="F726" s="1011" t="s">
        <v>1619</v>
      </c>
    </row>
    <row r="727" spans="1:6" x14ac:dyDescent="0.25">
      <c r="A727" s="1011">
        <v>44125318</v>
      </c>
      <c r="B727" s="1011" t="s">
        <v>3483</v>
      </c>
      <c r="C727" s="1011" t="s">
        <v>3484</v>
      </c>
      <c r="D727" s="1011" t="s">
        <v>72</v>
      </c>
      <c r="E727" s="1011" t="s">
        <v>1612</v>
      </c>
      <c r="F727" s="1011" t="s">
        <v>2939</v>
      </c>
    </row>
    <row r="728" spans="1:6" x14ac:dyDescent="0.25">
      <c r="A728" s="1011">
        <v>44124139</v>
      </c>
      <c r="B728" s="1011" t="s">
        <v>3485</v>
      </c>
      <c r="C728" s="1011" t="s">
        <v>2213</v>
      </c>
      <c r="D728" s="1011" t="s">
        <v>1685</v>
      </c>
      <c r="E728" s="1011" t="s">
        <v>1593</v>
      </c>
      <c r="F728" s="1011" t="s">
        <v>1469</v>
      </c>
    </row>
    <row r="729" spans="1:6" x14ac:dyDescent="0.25">
      <c r="A729" s="1011">
        <v>64123805</v>
      </c>
      <c r="B729" s="1011" t="s">
        <v>3486</v>
      </c>
      <c r="C729" s="1011" t="s">
        <v>2583</v>
      </c>
      <c r="D729" s="1011" t="s">
        <v>2007</v>
      </c>
      <c r="E729" s="1011" t="s">
        <v>1588</v>
      </c>
      <c r="F729" s="1011" t="s">
        <v>2008</v>
      </c>
    </row>
    <row r="730" spans="1:6" x14ac:dyDescent="0.25">
      <c r="A730" s="1011">
        <v>94125770</v>
      </c>
      <c r="B730" s="1011" t="s">
        <v>3487</v>
      </c>
      <c r="C730" s="1011" t="s">
        <v>3488</v>
      </c>
      <c r="D730" s="1011" t="s">
        <v>72</v>
      </c>
      <c r="E730" s="1011" t="s">
        <v>1612</v>
      </c>
      <c r="F730" s="1011" t="s">
        <v>2569</v>
      </c>
    </row>
    <row r="731" spans="1:6" x14ac:dyDescent="0.25">
      <c r="A731" s="1011">
        <v>54124813</v>
      </c>
      <c r="B731" s="1011" t="s">
        <v>3489</v>
      </c>
      <c r="C731" s="1011" t="s">
        <v>3490</v>
      </c>
      <c r="D731" s="1011" t="s">
        <v>2844</v>
      </c>
      <c r="E731" s="1011" t="s">
        <v>1583</v>
      </c>
      <c r="F731" s="1011" t="s">
        <v>2845</v>
      </c>
    </row>
    <row r="732" spans="1:6" x14ac:dyDescent="0.25">
      <c r="A732" s="1011">
        <v>74164807</v>
      </c>
      <c r="B732" s="1011" t="s">
        <v>3491</v>
      </c>
      <c r="C732" s="1011" t="s">
        <v>3492</v>
      </c>
      <c r="D732" s="1011" t="s">
        <v>2133</v>
      </c>
      <c r="E732" s="1011" t="s">
        <v>1593</v>
      </c>
      <c r="F732" s="1011" t="s">
        <v>2134</v>
      </c>
    </row>
    <row r="733" spans="1:6" x14ac:dyDescent="0.25">
      <c r="A733" s="1011">
        <v>84123835</v>
      </c>
      <c r="B733" s="1011" t="s">
        <v>3493</v>
      </c>
      <c r="C733" s="1011" t="s">
        <v>3494</v>
      </c>
      <c r="D733" s="1011" t="s">
        <v>2238</v>
      </c>
      <c r="E733" s="1011" t="s">
        <v>1593</v>
      </c>
      <c r="F733" s="1011" t="s">
        <v>2239</v>
      </c>
    </row>
    <row r="734" spans="1:6" x14ac:dyDescent="0.25">
      <c r="A734" s="1011">
        <v>34124255</v>
      </c>
      <c r="B734" s="1011" t="s">
        <v>3495</v>
      </c>
      <c r="C734" s="1011" t="s">
        <v>3496</v>
      </c>
      <c r="D734" s="1011" t="s">
        <v>1702</v>
      </c>
      <c r="E734" s="1011" t="s">
        <v>1593</v>
      </c>
      <c r="F734" s="1011" t="s">
        <v>1703</v>
      </c>
    </row>
    <row r="735" spans="1:6" x14ac:dyDescent="0.25">
      <c r="A735" s="1011">
        <v>4126058</v>
      </c>
      <c r="B735" s="1011" t="s">
        <v>3497</v>
      </c>
      <c r="C735" s="1011" t="s">
        <v>3498</v>
      </c>
      <c r="D735" s="1011" t="s">
        <v>2871</v>
      </c>
      <c r="E735" s="1011" t="s">
        <v>1588</v>
      </c>
      <c r="F735" s="1011" t="s">
        <v>2872</v>
      </c>
    </row>
    <row r="736" spans="1:6" x14ac:dyDescent="0.25">
      <c r="A736" s="1011">
        <v>14125736</v>
      </c>
      <c r="B736" s="1011" t="s">
        <v>3499</v>
      </c>
      <c r="C736" s="1011" t="s">
        <v>3500</v>
      </c>
      <c r="D736" s="1011" t="s">
        <v>2963</v>
      </c>
      <c r="E736" s="1011" t="s">
        <v>1588</v>
      </c>
      <c r="F736" s="1011" t="s">
        <v>2964</v>
      </c>
    </row>
    <row r="737" spans="1:6" x14ac:dyDescent="0.25">
      <c r="A737" s="1011">
        <v>64123425</v>
      </c>
      <c r="B737" s="1011" t="s">
        <v>3501</v>
      </c>
      <c r="C737" s="1011" t="s">
        <v>3502</v>
      </c>
      <c r="D737" s="1011" t="s">
        <v>2678</v>
      </c>
      <c r="E737" s="1011" t="s">
        <v>1593</v>
      </c>
      <c r="F737" s="1011" t="s">
        <v>2679</v>
      </c>
    </row>
    <row r="738" spans="1:6" x14ac:dyDescent="0.25">
      <c r="A738" s="1011">
        <v>84163229</v>
      </c>
      <c r="B738" s="1011" t="s">
        <v>3503</v>
      </c>
      <c r="C738" s="1011" t="s">
        <v>3504</v>
      </c>
      <c r="D738" s="1011" t="s">
        <v>1909</v>
      </c>
      <c r="E738" s="1011" t="s">
        <v>1588</v>
      </c>
      <c r="F738" s="1011" t="s">
        <v>1910</v>
      </c>
    </row>
    <row r="739" spans="1:6" x14ac:dyDescent="0.25">
      <c r="A739" s="1011">
        <v>4125753</v>
      </c>
      <c r="B739" s="1011" t="s">
        <v>3505</v>
      </c>
      <c r="C739" s="1011" t="s">
        <v>3506</v>
      </c>
      <c r="D739" s="1011" t="s">
        <v>2394</v>
      </c>
      <c r="E739" s="1011" t="s">
        <v>1588</v>
      </c>
      <c r="F739" s="1011" t="s">
        <v>2395</v>
      </c>
    </row>
    <row r="740" spans="1:6" x14ac:dyDescent="0.25">
      <c r="A740" s="1011">
        <v>63962518</v>
      </c>
      <c r="B740" s="1011" t="s">
        <v>3507</v>
      </c>
      <c r="C740" s="1011" t="s">
        <v>3508</v>
      </c>
      <c r="D740" s="1011" t="s">
        <v>3509</v>
      </c>
      <c r="E740" s="1011" t="s">
        <v>1583</v>
      </c>
      <c r="F740" s="1011" t="s">
        <v>3510</v>
      </c>
    </row>
    <row r="741" spans="1:6" x14ac:dyDescent="0.25">
      <c r="A741" s="1011">
        <v>94125986</v>
      </c>
      <c r="B741" s="1011" t="s">
        <v>3511</v>
      </c>
      <c r="C741" s="1011" t="s">
        <v>3512</v>
      </c>
      <c r="D741" s="1011" t="s">
        <v>1767</v>
      </c>
      <c r="E741" s="1011" t="s">
        <v>1593</v>
      </c>
      <c r="F741" s="1011" t="s">
        <v>1419</v>
      </c>
    </row>
    <row r="742" spans="1:6" x14ac:dyDescent="0.25">
      <c r="A742" s="1011">
        <v>84124528</v>
      </c>
      <c r="B742" s="1011" t="s">
        <v>3513</v>
      </c>
      <c r="C742" s="1011" t="s">
        <v>3514</v>
      </c>
      <c r="D742" s="1011" t="s">
        <v>2251</v>
      </c>
      <c r="E742" s="1011" t="s">
        <v>1593</v>
      </c>
      <c r="F742" s="1011" t="s">
        <v>2252</v>
      </c>
    </row>
    <row r="743" spans="1:6" x14ac:dyDescent="0.25">
      <c r="A743" s="1011">
        <v>74126038</v>
      </c>
      <c r="B743" s="1011" t="s">
        <v>3515</v>
      </c>
      <c r="C743" s="1011" t="s">
        <v>3516</v>
      </c>
      <c r="D743" s="1011" t="s">
        <v>3517</v>
      </c>
      <c r="E743" s="1011" t="s">
        <v>1588</v>
      </c>
      <c r="F743" s="1011" t="s">
        <v>3518</v>
      </c>
    </row>
    <row r="744" spans="1:6" x14ac:dyDescent="0.25">
      <c r="A744" s="1011">
        <v>94124120</v>
      </c>
      <c r="B744" s="1011" t="s">
        <v>3519</v>
      </c>
      <c r="C744" s="1011" t="s">
        <v>3520</v>
      </c>
      <c r="D744" s="1011" t="s">
        <v>1127</v>
      </c>
      <c r="E744" s="1011" t="s">
        <v>1593</v>
      </c>
      <c r="F744" s="1011" t="s">
        <v>1461</v>
      </c>
    </row>
    <row r="745" spans="1:6" x14ac:dyDescent="0.25">
      <c r="A745" s="1011">
        <v>94124161</v>
      </c>
      <c r="B745" s="1011" t="s">
        <v>3521</v>
      </c>
      <c r="C745" s="1011" t="s">
        <v>3522</v>
      </c>
      <c r="D745" s="1011" t="s">
        <v>1127</v>
      </c>
      <c r="E745" s="1011" t="s">
        <v>1593</v>
      </c>
      <c r="F745" s="1011" t="s">
        <v>1375</v>
      </c>
    </row>
    <row r="746" spans="1:6" x14ac:dyDescent="0.25">
      <c r="A746" s="1011">
        <v>54128210</v>
      </c>
      <c r="B746" s="1011" t="s">
        <v>3523</v>
      </c>
      <c r="C746" s="1011" t="s">
        <v>3524</v>
      </c>
      <c r="D746" s="1011" t="s">
        <v>2295</v>
      </c>
      <c r="E746" s="1011" t="s">
        <v>1612</v>
      </c>
      <c r="F746" s="1011" t="s">
        <v>2296</v>
      </c>
    </row>
    <row r="747" spans="1:6" x14ac:dyDescent="0.25">
      <c r="A747" s="1011">
        <v>54124995</v>
      </c>
      <c r="B747" s="1011" t="s">
        <v>3525</v>
      </c>
      <c r="C747" s="1011" t="s">
        <v>3526</v>
      </c>
      <c r="D747" s="1011" t="s">
        <v>2299</v>
      </c>
      <c r="E747" s="1011" t="s">
        <v>1583</v>
      </c>
      <c r="F747" s="1011" t="s">
        <v>1345</v>
      </c>
    </row>
    <row r="748" spans="1:6" x14ac:dyDescent="0.25">
      <c r="A748" s="1011">
        <v>64123540</v>
      </c>
      <c r="B748" s="1011" t="s">
        <v>3527</v>
      </c>
      <c r="C748" s="1011" t="s">
        <v>3528</v>
      </c>
      <c r="D748" s="1011" t="s">
        <v>1127</v>
      </c>
      <c r="E748" s="1011" t="s">
        <v>1593</v>
      </c>
      <c r="F748" s="1011" t="s">
        <v>1449</v>
      </c>
    </row>
    <row r="749" spans="1:6" x14ac:dyDescent="0.25">
      <c r="A749" s="1011">
        <v>54275425</v>
      </c>
      <c r="B749" s="1011" t="s">
        <v>3529</v>
      </c>
      <c r="C749" s="1011" t="s">
        <v>3530</v>
      </c>
      <c r="D749" s="1011" t="s">
        <v>1125</v>
      </c>
      <c r="E749" s="1011" t="s">
        <v>1588</v>
      </c>
      <c r="F749" s="1011" t="s">
        <v>1770</v>
      </c>
    </row>
    <row r="750" spans="1:6" x14ac:dyDescent="0.25">
      <c r="A750" s="1011">
        <v>44163830</v>
      </c>
      <c r="B750" s="1011" t="s">
        <v>3531</v>
      </c>
      <c r="C750" s="1011" t="s">
        <v>3532</v>
      </c>
      <c r="D750" s="1011" t="s">
        <v>3205</v>
      </c>
      <c r="E750" s="1011" t="s">
        <v>1588</v>
      </c>
      <c r="F750" s="1011" t="s">
        <v>3206</v>
      </c>
    </row>
    <row r="751" spans="1:6" x14ac:dyDescent="0.25">
      <c r="A751" s="1011">
        <v>84124288</v>
      </c>
      <c r="B751" s="1011" t="s">
        <v>3533</v>
      </c>
      <c r="C751" s="1011" t="s">
        <v>3534</v>
      </c>
      <c r="D751" s="1011" t="s">
        <v>2141</v>
      </c>
      <c r="E751" s="1011" t="s">
        <v>1593</v>
      </c>
      <c r="F751" s="1011" t="s">
        <v>2142</v>
      </c>
    </row>
    <row r="752" spans="1:6" x14ac:dyDescent="0.25">
      <c r="A752" s="1011">
        <v>34123489</v>
      </c>
      <c r="B752" s="1011" t="s">
        <v>3535</v>
      </c>
      <c r="C752" s="1011" t="s">
        <v>3536</v>
      </c>
      <c r="D752" s="1011" t="s">
        <v>1127</v>
      </c>
      <c r="E752" s="1011" t="s">
        <v>1593</v>
      </c>
      <c r="F752" s="1011" t="s">
        <v>1461</v>
      </c>
    </row>
    <row r="753" spans="1:6" x14ac:dyDescent="0.25">
      <c r="A753" s="1011">
        <v>84125574</v>
      </c>
      <c r="B753" s="1011" t="s">
        <v>3537</v>
      </c>
      <c r="C753" s="1011" t="s">
        <v>3538</v>
      </c>
      <c r="D753" s="1011" t="s">
        <v>3539</v>
      </c>
      <c r="E753" s="1011" t="s">
        <v>1588</v>
      </c>
      <c r="F753" s="1011" t="s">
        <v>3540</v>
      </c>
    </row>
    <row r="754" spans="1:6" x14ac:dyDescent="0.25">
      <c r="A754" s="1011">
        <v>74125402</v>
      </c>
      <c r="B754" s="1011" t="s">
        <v>3541</v>
      </c>
      <c r="C754" s="1011" t="s">
        <v>3542</v>
      </c>
      <c r="D754" s="1011" t="s">
        <v>2413</v>
      </c>
      <c r="E754" s="1011" t="s">
        <v>1612</v>
      </c>
      <c r="F754" s="1011" t="s">
        <v>2414</v>
      </c>
    </row>
    <row r="755" spans="1:6" x14ac:dyDescent="0.25">
      <c r="A755" s="1011">
        <v>14125793</v>
      </c>
      <c r="B755" s="1011" t="s">
        <v>3543</v>
      </c>
      <c r="C755" s="1011" t="s">
        <v>3544</v>
      </c>
      <c r="D755" s="1011" t="s">
        <v>2302</v>
      </c>
      <c r="E755" s="1011" t="s">
        <v>1588</v>
      </c>
      <c r="F755" s="1011" t="s">
        <v>1355</v>
      </c>
    </row>
    <row r="756" spans="1:6" x14ac:dyDescent="0.25">
      <c r="A756" s="1011">
        <v>54124169</v>
      </c>
      <c r="B756" s="1011" t="s">
        <v>3545</v>
      </c>
      <c r="C756" s="1011" t="s">
        <v>3546</v>
      </c>
      <c r="D756" s="1011" t="s">
        <v>1602</v>
      </c>
      <c r="E756" s="1011" t="s">
        <v>1593</v>
      </c>
      <c r="F756" s="1011" t="s">
        <v>1417</v>
      </c>
    </row>
    <row r="757" spans="1:6" x14ac:dyDescent="0.25">
      <c r="A757" s="1011">
        <v>64125404</v>
      </c>
      <c r="B757" s="1011" t="s">
        <v>3547</v>
      </c>
      <c r="C757" s="1011" t="s">
        <v>3548</v>
      </c>
      <c r="D757" s="1011" t="s">
        <v>3549</v>
      </c>
      <c r="E757" s="1011" t="s">
        <v>1588</v>
      </c>
      <c r="F757" s="1011" t="s">
        <v>3550</v>
      </c>
    </row>
    <row r="758" spans="1:6" x14ac:dyDescent="0.25">
      <c r="A758" s="1011">
        <v>64125271</v>
      </c>
      <c r="B758" s="1011" t="s">
        <v>3551</v>
      </c>
      <c r="C758" s="1011" t="s">
        <v>3552</v>
      </c>
      <c r="D758" s="1011" t="s">
        <v>1742</v>
      </c>
      <c r="E758" s="1011" t="s">
        <v>1593</v>
      </c>
      <c r="F758" s="1011" t="s">
        <v>1743</v>
      </c>
    </row>
    <row r="759" spans="1:6" x14ac:dyDescent="0.25">
      <c r="A759" s="1011">
        <v>34125773</v>
      </c>
      <c r="B759" s="1011" t="s">
        <v>3311</v>
      </c>
      <c r="C759" s="1011" t="s">
        <v>3312</v>
      </c>
      <c r="D759" s="1011" t="s">
        <v>2313</v>
      </c>
      <c r="E759" s="1011" t="s">
        <v>1588</v>
      </c>
      <c r="F759" s="1011" t="s">
        <v>1347</v>
      </c>
    </row>
    <row r="760" spans="1:6" x14ac:dyDescent="0.25">
      <c r="A760" s="1011">
        <v>44123701</v>
      </c>
      <c r="B760" s="1011" t="s">
        <v>3553</v>
      </c>
      <c r="C760" s="1011" t="s">
        <v>3554</v>
      </c>
      <c r="D760" s="1011" t="s">
        <v>3120</v>
      </c>
      <c r="E760" s="1011" t="s">
        <v>1593</v>
      </c>
      <c r="F760" s="1011" t="s">
        <v>3121</v>
      </c>
    </row>
    <row r="761" spans="1:6" x14ac:dyDescent="0.25">
      <c r="A761" s="1011">
        <v>64123359</v>
      </c>
      <c r="B761" s="1011" t="s">
        <v>3555</v>
      </c>
      <c r="C761" s="1011" t="s">
        <v>3556</v>
      </c>
      <c r="D761" s="1011" t="s">
        <v>2145</v>
      </c>
      <c r="E761" s="1011" t="s">
        <v>1593</v>
      </c>
      <c r="F761" s="1011" t="s">
        <v>2146</v>
      </c>
    </row>
    <row r="762" spans="1:6" x14ac:dyDescent="0.25">
      <c r="A762" s="1011">
        <v>84124320</v>
      </c>
      <c r="B762" s="1011" t="s">
        <v>3557</v>
      </c>
      <c r="C762" s="1011" t="s">
        <v>3558</v>
      </c>
      <c r="D762" s="1011" t="s">
        <v>2559</v>
      </c>
      <c r="E762" s="1011" t="s">
        <v>1583</v>
      </c>
      <c r="F762" s="1011" t="s">
        <v>2560</v>
      </c>
    </row>
    <row r="763" spans="1:6" x14ac:dyDescent="0.25">
      <c r="A763" s="1011">
        <v>94273406</v>
      </c>
      <c r="B763" s="1011" t="s">
        <v>3559</v>
      </c>
      <c r="C763" s="1011" t="s">
        <v>3434</v>
      </c>
      <c r="D763" s="1011" t="s">
        <v>3435</v>
      </c>
      <c r="E763" s="1011" t="s">
        <v>1588</v>
      </c>
      <c r="F763" s="1011" t="s">
        <v>3436</v>
      </c>
    </row>
    <row r="764" spans="1:6" x14ac:dyDescent="0.25">
      <c r="A764" s="1011">
        <v>4126017</v>
      </c>
      <c r="B764" s="1011" t="s">
        <v>3560</v>
      </c>
      <c r="C764" s="1011" t="s">
        <v>3561</v>
      </c>
      <c r="D764" s="1011" t="s">
        <v>1125</v>
      </c>
      <c r="E764" s="1011" t="s">
        <v>1588</v>
      </c>
      <c r="F764" s="1011" t="s">
        <v>1361</v>
      </c>
    </row>
    <row r="765" spans="1:6" x14ac:dyDescent="0.25">
      <c r="A765" s="1011">
        <v>84143437</v>
      </c>
      <c r="B765" s="1011" t="s">
        <v>3562</v>
      </c>
      <c r="C765" s="1011" t="s">
        <v>2831</v>
      </c>
      <c r="D765" s="1011" t="s">
        <v>2832</v>
      </c>
      <c r="E765" s="1011" t="s">
        <v>1612</v>
      </c>
      <c r="F765" s="1011" t="s">
        <v>2833</v>
      </c>
    </row>
    <row r="766" spans="1:6" x14ac:dyDescent="0.25">
      <c r="A766" s="1011">
        <v>74244807</v>
      </c>
      <c r="B766" s="1011" t="s">
        <v>3563</v>
      </c>
      <c r="C766" s="1011" t="s">
        <v>3564</v>
      </c>
      <c r="D766" s="1011" t="s">
        <v>1756</v>
      </c>
      <c r="E766" s="1011" t="s">
        <v>1593</v>
      </c>
      <c r="F766" s="1011" t="s">
        <v>1429</v>
      </c>
    </row>
    <row r="767" spans="1:6" x14ac:dyDescent="0.25">
      <c r="A767" s="1011">
        <v>74124397</v>
      </c>
      <c r="B767" s="1011" t="s">
        <v>3565</v>
      </c>
      <c r="C767" s="1011" t="s">
        <v>3566</v>
      </c>
      <c r="D767" s="1011" t="s">
        <v>2503</v>
      </c>
      <c r="E767" s="1011" t="s">
        <v>1593</v>
      </c>
      <c r="F767" s="1011" t="s">
        <v>2504</v>
      </c>
    </row>
    <row r="768" spans="1:6" x14ac:dyDescent="0.25">
      <c r="A768" s="1011">
        <v>44125458</v>
      </c>
      <c r="B768" s="1011" t="s">
        <v>3567</v>
      </c>
      <c r="C768" s="1011" t="s">
        <v>3568</v>
      </c>
      <c r="D768" s="1011" t="s">
        <v>3569</v>
      </c>
      <c r="E768" s="1011" t="s">
        <v>1588</v>
      </c>
      <c r="F768" s="1011" t="s">
        <v>3570</v>
      </c>
    </row>
    <row r="769" spans="1:6" x14ac:dyDescent="0.25">
      <c r="A769" s="1011">
        <v>94125416</v>
      </c>
      <c r="B769" s="1011" t="s">
        <v>3571</v>
      </c>
      <c r="C769" s="1011" t="s">
        <v>3572</v>
      </c>
      <c r="D769" s="1011" t="s">
        <v>3573</v>
      </c>
      <c r="E769" s="1011" t="s">
        <v>1588</v>
      </c>
      <c r="F769" s="1011" t="s">
        <v>3574</v>
      </c>
    </row>
    <row r="770" spans="1:6" x14ac:dyDescent="0.25">
      <c r="A770" s="1011">
        <v>74125451</v>
      </c>
      <c r="B770" s="1011" t="s">
        <v>3575</v>
      </c>
      <c r="C770" s="1011" t="s">
        <v>3576</v>
      </c>
      <c r="D770" s="1011" t="s">
        <v>2785</v>
      </c>
      <c r="E770" s="1011" t="s">
        <v>1593</v>
      </c>
      <c r="F770" s="1011" t="s">
        <v>1351</v>
      </c>
    </row>
    <row r="771" spans="1:6" x14ac:dyDescent="0.25">
      <c r="A771" s="1011">
        <v>94123494</v>
      </c>
      <c r="B771" s="1011" t="s">
        <v>3577</v>
      </c>
      <c r="C771" s="1011" t="s">
        <v>3578</v>
      </c>
      <c r="D771" s="1011" t="s">
        <v>1127</v>
      </c>
      <c r="E771" s="1011" t="s">
        <v>1593</v>
      </c>
      <c r="F771" s="1011" t="s">
        <v>1375</v>
      </c>
    </row>
    <row r="772" spans="1:6" x14ac:dyDescent="0.25">
      <c r="A772" s="1011">
        <v>14126114</v>
      </c>
      <c r="B772" s="1011" t="s">
        <v>3579</v>
      </c>
      <c r="C772" s="1011" t="s">
        <v>3580</v>
      </c>
      <c r="D772" s="1011" t="s">
        <v>3330</v>
      </c>
      <c r="E772" s="1011" t="s">
        <v>1588</v>
      </c>
      <c r="F772" s="1011" t="s">
        <v>3331</v>
      </c>
    </row>
    <row r="773" spans="1:6" x14ac:dyDescent="0.25">
      <c r="A773" s="1011">
        <v>94125242</v>
      </c>
      <c r="B773" s="1011" t="s">
        <v>3581</v>
      </c>
      <c r="C773" s="1011" t="s">
        <v>3582</v>
      </c>
      <c r="D773" s="1011" t="s">
        <v>1668</v>
      </c>
      <c r="E773" s="1011" t="s">
        <v>1588</v>
      </c>
      <c r="F773" s="1011" t="s">
        <v>1669</v>
      </c>
    </row>
    <row r="774" spans="1:6" x14ac:dyDescent="0.25">
      <c r="A774" s="1011">
        <v>44273837</v>
      </c>
      <c r="B774" s="1011" t="s">
        <v>3583</v>
      </c>
      <c r="C774" s="1011" t="s">
        <v>3584</v>
      </c>
      <c r="D774" s="1011" t="s">
        <v>1756</v>
      </c>
      <c r="E774" s="1011" t="s">
        <v>1593</v>
      </c>
      <c r="F774" s="1011" t="s">
        <v>1429</v>
      </c>
    </row>
    <row r="775" spans="1:6" x14ac:dyDescent="0.25">
      <c r="A775" s="1011">
        <v>14125785</v>
      </c>
      <c r="B775" s="1011" t="s">
        <v>3585</v>
      </c>
      <c r="C775" s="1011" t="s">
        <v>3586</v>
      </c>
      <c r="D775" s="1011" t="s">
        <v>3587</v>
      </c>
      <c r="E775" s="1011" t="s">
        <v>1588</v>
      </c>
      <c r="F775" s="1011" t="s">
        <v>3588</v>
      </c>
    </row>
    <row r="776" spans="1:6" x14ac:dyDescent="0.25">
      <c r="A776" s="1011">
        <v>14124465</v>
      </c>
      <c r="B776" s="1011" t="s">
        <v>3589</v>
      </c>
      <c r="C776" s="1011" t="s">
        <v>3590</v>
      </c>
      <c r="D776" s="1011" t="s">
        <v>2007</v>
      </c>
      <c r="E776" s="1011" t="s">
        <v>1588</v>
      </c>
      <c r="F776" s="1011" t="s">
        <v>2008</v>
      </c>
    </row>
    <row r="777" spans="1:6" x14ac:dyDescent="0.25">
      <c r="A777" s="1011">
        <v>34125922</v>
      </c>
      <c r="B777" s="1011" t="s">
        <v>3591</v>
      </c>
      <c r="C777" s="1011" t="s">
        <v>3592</v>
      </c>
      <c r="D777" s="1011" t="s">
        <v>2785</v>
      </c>
      <c r="E777" s="1011" t="s">
        <v>1593</v>
      </c>
      <c r="F777" s="1011" t="s">
        <v>1351</v>
      </c>
    </row>
    <row r="778" spans="1:6" x14ac:dyDescent="0.25">
      <c r="A778" s="1011">
        <v>64124209</v>
      </c>
      <c r="B778" s="1011" t="s">
        <v>3593</v>
      </c>
      <c r="C778" s="1011" t="s">
        <v>3594</v>
      </c>
      <c r="D778" s="1011" t="s">
        <v>3595</v>
      </c>
      <c r="E778" s="1011" t="s">
        <v>1588</v>
      </c>
      <c r="F778" s="1011" t="s">
        <v>3596</v>
      </c>
    </row>
    <row r="779" spans="1:6" x14ac:dyDescent="0.25">
      <c r="A779" s="1011">
        <v>44124055</v>
      </c>
      <c r="B779" s="1011" t="s">
        <v>3597</v>
      </c>
      <c r="C779" s="1011" t="s">
        <v>3598</v>
      </c>
      <c r="D779" s="1011" t="s">
        <v>1602</v>
      </c>
      <c r="E779" s="1011" t="s">
        <v>1593</v>
      </c>
      <c r="F779" s="1011" t="s">
        <v>1417</v>
      </c>
    </row>
    <row r="780" spans="1:6" x14ac:dyDescent="0.25">
      <c r="A780" s="1011">
        <v>54125539</v>
      </c>
      <c r="B780" s="1011" t="s">
        <v>3599</v>
      </c>
      <c r="C780" s="1011" t="s">
        <v>3600</v>
      </c>
      <c r="D780" s="1011" t="s">
        <v>72</v>
      </c>
      <c r="E780" s="1011" t="s">
        <v>1612</v>
      </c>
      <c r="F780" s="1011" t="s">
        <v>3601</v>
      </c>
    </row>
    <row r="781" spans="1:6" x14ac:dyDescent="0.25">
      <c r="A781" s="1011">
        <v>64229941</v>
      </c>
      <c r="B781" s="1011" t="s">
        <v>3602</v>
      </c>
      <c r="C781" s="1011" t="s">
        <v>3603</v>
      </c>
      <c r="D781" s="1011" t="s">
        <v>1127</v>
      </c>
      <c r="E781" s="1011" t="s">
        <v>1593</v>
      </c>
      <c r="F781" s="1011" t="s">
        <v>1449</v>
      </c>
    </row>
    <row r="782" spans="1:6" x14ac:dyDescent="0.25">
      <c r="A782" s="1011">
        <v>84258466</v>
      </c>
      <c r="B782" s="1011" t="s">
        <v>3604</v>
      </c>
      <c r="C782" s="1011" t="s">
        <v>3605</v>
      </c>
      <c r="D782" s="1011" t="s">
        <v>1127</v>
      </c>
      <c r="E782" s="1011" t="s">
        <v>1593</v>
      </c>
      <c r="F782" s="1011" t="s">
        <v>1383</v>
      </c>
    </row>
    <row r="783" spans="1:6" x14ac:dyDescent="0.25">
      <c r="A783" s="1011">
        <v>4123691</v>
      </c>
      <c r="B783" s="1011" t="s">
        <v>3606</v>
      </c>
      <c r="C783" s="1011" t="s">
        <v>3607</v>
      </c>
      <c r="D783" s="1011" t="s">
        <v>1921</v>
      </c>
      <c r="E783" s="1011" t="s">
        <v>1583</v>
      </c>
      <c r="F783" s="1011" t="s">
        <v>1922</v>
      </c>
    </row>
    <row r="784" spans="1:6" x14ac:dyDescent="0.25">
      <c r="A784" s="1011">
        <v>34123737</v>
      </c>
      <c r="B784" s="1011" t="s">
        <v>3608</v>
      </c>
      <c r="C784" s="1011" t="s">
        <v>3609</v>
      </c>
      <c r="D784" s="1011" t="s">
        <v>3249</v>
      </c>
      <c r="E784" s="1011" t="s">
        <v>1593</v>
      </c>
      <c r="F784" s="1011" t="s">
        <v>2408</v>
      </c>
    </row>
    <row r="785" spans="1:6" x14ac:dyDescent="0.25">
      <c r="A785" s="1011">
        <v>44163822</v>
      </c>
      <c r="B785" s="1011" t="s">
        <v>3610</v>
      </c>
      <c r="C785" s="1011" t="s">
        <v>3611</v>
      </c>
      <c r="D785" s="1011" t="s">
        <v>2071</v>
      </c>
      <c r="E785" s="1011" t="s">
        <v>1588</v>
      </c>
      <c r="F785" s="1011" t="s">
        <v>1465</v>
      </c>
    </row>
    <row r="786" spans="1:6" x14ac:dyDescent="0.25">
      <c r="A786" s="1011">
        <v>34123869</v>
      </c>
      <c r="B786" s="1011" t="s">
        <v>3612</v>
      </c>
      <c r="C786" s="1011" t="s">
        <v>3613</v>
      </c>
      <c r="D786" s="1011" t="s">
        <v>1127</v>
      </c>
      <c r="E786" s="1011" t="s">
        <v>1593</v>
      </c>
      <c r="F786" s="1011" t="s">
        <v>1383</v>
      </c>
    </row>
    <row r="787" spans="1:6" x14ac:dyDescent="0.25">
      <c r="A787" s="1011">
        <v>54222500</v>
      </c>
      <c r="B787" s="1011" t="s">
        <v>3614</v>
      </c>
      <c r="C787" s="1011" t="s">
        <v>3615</v>
      </c>
      <c r="D787" s="1011" t="s">
        <v>2302</v>
      </c>
      <c r="E787" s="1011" t="s">
        <v>1588</v>
      </c>
      <c r="F787" s="1011" t="s">
        <v>1355</v>
      </c>
    </row>
    <row r="788" spans="1:6" x14ac:dyDescent="0.25">
      <c r="A788" s="1011">
        <v>34123521</v>
      </c>
      <c r="B788" s="1011" t="s">
        <v>3616</v>
      </c>
      <c r="C788" s="1011" t="s">
        <v>3617</v>
      </c>
      <c r="D788" s="1011" t="s">
        <v>1127</v>
      </c>
      <c r="E788" s="1011" t="s">
        <v>1593</v>
      </c>
      <c r="F788" s="1011" t="s">
        <v>1383</v>
      </c>
    </row>
    <row r="789" spans="1:6" x14ac:dyDescent="0.25">
      <c r="A789" s="1011">
        <v>4147054</v>
      </c>
      <c r="B789" s="1011" t="s">
        <v>3618</v>
      </c>
      <c r="C789" s="1011" t="s">
        <v>3619</v>
      </c>
      <c r="D789" s="1011" t="s">
        <v>1127</v>
      </c>
      <c r="E789" s="1011" t="s">
        <v>1593</v>
      </c>
      <c r="F789" s="1011" t="s">
        <v>1445</v>
      </c>
    </row>
    <row r="790" spans="1:6" x14ac:dyDescent="0.25">
      <c r="A790" s="1011">
        <v>14125603</v>
      </c>
      <c r="B790" s="1011" t="s">
        <v>3620</v>
      </c>
      <c r="C790" s="1011" t="s">
        <v>3621</v>
      </c>
      <c r="D790" s="1011" t="s">
        <v>3587</v>
      </c>
      <c r="E790" s="1011" t="s">
        <v>1588</v>
      </c>
      <c r="F790" s="1011" t="s">
        <v>3588</v>
      </c>
    </row>
    <row r="791" spans="1:6" x14ac:dyDescent="0.25">
      <c r="A791" s="1011">
        <v>64124811</v>
      </c>
      <c r="B791" s="1011" t="s">
        <v>3622</v>
      </c>
      <c r="C791" s="1011" t="s">
        <v>3623</v>
      </c>
      <c r="D791" s="1011" t="s">
        <v>1892</v>
      </c>
      <c r="E791" s="1011" t="s">
        <v>1583</v>
      </c>
      <c r="F791" s="1011" t="s">
        <v>1371</v>
      </c>
    </row>
    <row r="792" spans="1:6" x14ac:dyDescent="0.25">
      <c r="A792" s="1011">
        <v>14123483</v>
      </c>
      <c r="B792" s="1011" t="s">
        <v>3624</v>
      </c>
      <c r="C792" s="1011" t="s">
        <v>3625</v>
      </c>
      <c r="D792" s="1011" t="s">
        <v>1127</v>
      </c>
      <c r="E792" s="1011" t="s">
        <v>1593</v>
      </c>
      <c r="F792" s="1011" t="s">
        <v>1383</v>
      </c>
    </row>
    <row r="793" spans="1:6" x14ac:dyDescent="0.25">
      <c r="A793" s="1011">
        <v>94124609</v>
      </c>
      <c r="B793" s="1011" t="s">
        <v>3626</v>
      </c>
      <c r="C793" s="1011" t="s">
        <v>3627</v>
      </c>
      <c r="D793" s="1011" t="s">
        <v>2114</v>
      </c>
      <c r="E793" s="1011" t="s">
        <v>1583</v>
      </c>
      <c r="F793" s="1011" t="s">
        <v>1357</v>
      </c>
    </row>
    <row r="794" spans="1:6" x14ac:dyDescent="0.25">
      <c r="A794" s="1011">
        <v>94125390</v>
      </c>
      <c r="B794" s="1011" t="s">
        <v>3628</v>
      </c>
      <c r="C794" s="1011" t="s">
        <v>3629</v>
      </c>
      <c r="D794" s="1011" t="s">
        <v>2041</v>
      </c>
      <c r="E794" s="1011" t="s">
        <v>1588</v>
      </c>
      <c r="F794" s="1011" t="s">
        <v>2042</v>
      </c>
    </row>
    <row r="795" spans="1:6" x14ac:dyDescent="0.25">
      <c r="A795" s="1011">
        <v>64124266</v>
      </c>
      <c r="B795" s="1011" t="s">
        <v>3630</v>
      </c>
      <c r="C795" s="1011" t="s">
        <v>3631</v>
      </c>
      <c r="D795" s="1011" t="s">
        <v>2969</v>
      </c>
      <c r="E795" s="1011" t="s">
        <v>1583</v>
      </c>
      <c r="F795" s="1011" t="s">
        <v>1451</v>
      </c>
    </row>
    <row r="796" spans="1:6" x14ac:dyDescent="0.25">
      <c r="A796" s="1011">
        <v>74142076</v>
      </c>
      <c r="B796" s="1011" t="s">
        <v>3632</v>
      </c>
      <c r="C796" s="1011" t="s">
        <v>3633</v>
      </c>
      <c r="D796" s="1011" t="s">
        <v>1931</v>
      </c>
      <c r="E796" s="1011" t="s">
        <v>1588</v>
      </c>
      <c r="F796" s="1011" t="s">
        <v>1932</v>
      </c>
    </row>
    <row r="797" spans="1:6" x14ac:dyDescent="0.25">
      <c r="A797" s="1011">
        <v>54124060</v>
      </c>
      <c r="B797" s="1011" t="s">
        <v>3634</v>
      </c>
      <c r="C797" s="1011" t="s">
        <v>3635</v>
      </c>
      <c r="D797" s="1011" t="s">
        <v>1685</v>
      </c>
      <c r="E797" s="1011" t="s">
        <v>1593</v>
      </c>
      <c r="F797" s="1011" t="s">
        <v>1469</v>
      </c>
    </row>
    <row r="798" spans="1:6" x14ac:dyDescent="0.25">
      <c r="A798" s="1011">
        <v>74125774</v>
      </c>
      <c r="B798" s="1011" t="s">
        <v>3636</v>
      </c>
      <c r="C798" s="1011" t="s">
        <v>2189</v>
      </c>
      <c r="D798" s="1011" t="s">
        <v>1125</v>
      </c>
      <c r="E798" s="1011" t="s">
        <v>1588</v>
      </c>
      <c r="F798" s="1011" t="s">
        <v>1770</v>
      </c>
    </row>
    <row r="799" spans="1:6" x14ac:dyDescent="0.25">
      <c r="A799" s="1011">
        <v>34144444</v>
      </c>
      <c r="B799" s="1011" t="s">
        <v>3637</v>
      </c>
      <c r="C799" s="1011" t="s">
        <v>3638</v>
      </c>
      <c r="D799" s="1011" t="s">
        <v>2295</v>
      </c>
      <c r="E799" s="1011" t="s">
        <v>1612</v>
      </c>
      <c r="F799" s="1011" t="s">
        <v>2296</v>
      </c>
    </row>
    <row r="800" spans="1:6" x14ac:dyDescent="0.25">
      <c r="A800" s="1011">
        <v>64124035</v>
      </c>
      <c r="B800" s="1011" t="s">
        <v>3639</v>
      </c>
      <c r="C800" s="1011" t="s">
        <v>3640</v>
      </c>
      <c r="D800" s="1011" t="s">
        <v>3595</v>
      </c>
      <c r="E800" s="1011" t="s">
        <v>1588</v>
      </c>
      <c r="F800" s="1011" t="s">
        <v>3596</v>
      </c>
    </row>
    <row r="801" spans="1:6" x14ac:dyDescent="0.25">
      <c r="A801" s="1011">
        <v>74125683</v>
      </c>
      <c r="B801" s="1011" t="s">
        <v>3641</v>
      </c>
      <c r="C801" s="1011" t="s">
        <v>3642</v>
      </c>
      <c r="D801" s="1011" t="s">
        <v>1125</v>
      </c>
      <c r="E801" s="1011" t="s">
        <v>1588</v>
      </c>
      <c r="F801" s="1011" t="s">
        <v>1421</v>
      </c>
    </row>
    <row r="802" spans="1:6" x14ac:dyDescent="0.25">
      <c r="A802" s="1011">
        <v>74124041</v>
      </c>
      <c r="B802" s="1011" t="s">
        <v>3643</v>
      </c>
      <c r="C802" s="1011" t="s">
        <v>3644</v>
      </c>
      <c r="D802" s="1011" t="s">
        <v>1685</v>
      </c>
      <c r="E802" s="1011" t="s">
        <v>1593</v>
      </c>
      <c r="F802" s="1011" t="s">
        <v>1469</v>
      </c>
    </row>
    <row r="803" spans="1:6" x14ac:dyDescent="0.25">
      <c r="A803" s="1011">
        <v>34125492</v>
      </c>
      <c r="B803" s="1011" t="s">
        <v>3645</v>
      </c>
      <c r="C803" s="1011" t="s">
        <v>3646</v>
      </c>
      <c r="D803" s="1011" t="s">
        <v>2722</v>
      </c>
      <c r="E803" s="1011" t="s">
        <v>1588</v>
      </c>
      <c r="F803" s="1011" t="s">
        <v>2723</v>
      </c>
    </row>
    <row r="804" spans="1:6" x14ac:dyDescent="0.25">
      <c r="A804" s="1011">
        <v>4124368</v>
      </c>
      <c r="B804" s="1011" t="s">
        <v>3647</v>
      </c>
      <c r="C804" s="1011" t="s">
        <v>3648</v>
      </c>
      <c r="D804" s="1011" t="s">
        <v>46</v>
      </c>
      <c r="E804" s="1011" t="s">
        <v>3649</v>
      </c>
      <c r="F804" s="1011" t="s">
        <v>3650</v>
      </c>
    </row>
    <row r="805" spans="1:6" x14ac:dyDescent="0.25">
      <c r="A805" s="1011">
        <v>4125613</v>
      </c>
      <c r="B805" s="1011" t="s">
        <v>3651</v>
      </c>
      <c r="C805" s="1011" t="s">
        <v>3652</v>
      </c>
      <c r="D805" s="1011" t="s">
        <v>72</v>
      </c>
      <c r="E805" s="1011" t="s">
        <v>1612</v>
      </c>
      <c r="F805" s="1011" t="s">
        <v>2850</v>
      </c>
    </row>
    <row r="806" spans="1:6" x14ac:dyDescent="0.25">
      <c r="A806" s="1011">
        <v>54123450</v>
      </c>
      <c r="B806" s="1011" t="s">
        <v>3653</v>
      </c>
      <c r="C806" s="1011" t="s">
        <v>3654</v>
      </c>
      <c r="D806" s="1011" t="s">
        <v>1127</v>
      </c>
      <c r="E806" s="1011" t="s">
        <v>1593</v>
      </c>
      <c r="F806" s="1011" t="s">
        <v>1461</v>
      </c>
    </row>
    <row r="807" spans="1:6" x14ac:dyDescent="0.25">
      <c r="A807" s="1011">
        <v>54123757</v>
      </c>
      <c r="B807" s="1011" t="s">
        <v>3655</v>
      </c>
      <c r="C807" s="1011" t="s">
        <v>3656</v>
      </c>
      <c r="D807" s="1011" t="s">
        <v>1728</v>
      </c>
      <c r="E807" s="1011" t="s">
        <v>1593</v>
      </c>
      <c r="F807" s="1011" t="s">
        <v>1729</v>
      </c>
    </row>
    <row r="808" spans="1:6" x14ac:dyDescent="0.25">
      <c r="A808" s="1011">
        <v>74151168</v>
      </c>
      <c r="B808" s="1011" t="s">
        <v>3657</v>
      </c>
      <c r="C808" s="1011" t="s">
        <v>3658</v>
      </c>
      <c r="D808" s="1011" t="s">
        <v>1725</v>
      </c>
      <c r="E808" s="1011" t="s">
        <v>1593</v>
      </c>
      <c r="F808" s="1011" t="s">
        <v>1413</v>
      </c>
    </row>
    <row r="809" spans="1:6" x14ac:dyDescent="0.25">
      <c r="A809" s="1011">
        <v>44123826</v>
      </c>
      <c r="B809" s="1011" t="s">
        <v>3659</v>
      </c>
      <c r="C809" s="1011" t="s">
        <v>3660</v>
      </c>
      <c r="D809" s="1011" t="s">
        <v>1127</v>
      </c>
      <c r="E809" s="1011" t="s">
        <v>1593</v>
      </c>
      <c r="F809" s="1011" t="s">
        <v>1375</v>
      </c>
    </row>
    <row r="810" spans="1:6" x14ac:dyDescent="0.25">
      <c r="A810" s="1011">
        <v>14124655</v>
      </c>
      <c r="B810" s="1011" t="s">
        <v>3661</v>
      </c>
      <c r="C810" s="1011" t="s">
        <v>3662</v>
      </c>
      <c r="D810" s="1011" t="s">
        <v>1767</v>
      </c>
      <c r="E810" s="1011" t="s">
        <v>1593</v>
      </c>
      <c r="F810" s="1011" t="s">
        <v>1419</v>
      </c>
    </row>
    <row r="811" spans="1:6" x14ac:dyDescent="0.25">
      <c r="A811" s="1011">
        <v>94124872</v>
      </c>
      <c r="B811" s="1011" t="s">
        <v>3663</v>
      </c>
      <c r="C811" s="1011" t="s">
        <v>3664</v>
      </c>
      <c r="D811" s="1011" t="s">
        <v>3665</v>
      </c>
      <c r="E811" s="1011" t="s">
        <v>1593</v>
      </c>
      <c r="F811" s="1011" t="s">
        <v>3666</v>
      </c>
    </row>
    <row r="812" spans="1:6" x14ac:dyDescent="0.25">
      <c r="A812" s="1011">
        <v>4125340</v>
      </c>
      <c r="B812" s="1011" t="s">
        <v>3667</v>
      </c>
      <c r="C812" s="1011" t="s">
        <v>3668</v>
      </c>
      <c r="D812" s="1011" t="s">
        <v>1125</v>
      </c>
      <c r="E812" s="1011" t="s">
        <v>1588</v>
      </c>
      <c r="F812" s="1011" t="s">
        <v>1770</v>
      </c>
    </row>
    <row r="813" spans="1:6" x14ac:dyDescent="0.25">
      <c r="A813" s="1011">
        <v>34123943</v>
      </c>
      <c r="B813" s="1011" t="s">
        <v>3669</v>
      </c>
      <c r="C813" s="1011" t="s">
        <v>3670</v>
      </c>
      <c r="D813" s="1011" t="s">
        <v>3671</v>
      </c>
      <c r="E813" s="1011" t="s">
        <v>1593</v>
      </c>
      <c r="F813" s="1011" t="s">
        <v>3672</v>
      </c>
    </row>
    <row r="814" spans="1:6" x14ac:dyDescent="0.25">
      <c r="A814" s="1011">
        <v>44123578</v>
      </c>
      <c r="B814" s="1011" t="s">
        <v>3673</v>
      </c>
      <c r="C814" s="1011" t="s">
        <v>3674</v>
      </c>
      <c r="D814" s="1011" t="s">
        <v>1127</v>
      </c>
      <c r="E814" s="1011" t="s">
        <v>1593</v>
      </c>
      <c r="F814" s="1011" t="s">
        <v>1375</v>
      </c>
    </row>
    <row r="815" spans="1:6" x14ac:dyDescent="0.25">
      <c r="A815" s="1011">
        <v>64125693</v>
      </c>
      <c r="B815" s="1011" t="s">
        <v>3675</v>
      </c>
      <c r="C815" s="1011" t="s">
        <v>3676</v>
      </c>
      <c r="D815" s="1011" t="s">
        <v>2394</v>
      </c>
      <c r="E815" s="1011" t="s">
        <v>1588</v>
      </c>
      <c r="F815" s="1011" t="s">
        <v>2395</v>
      </c>
    </row>
    <row r="816" spans="1:6" x14ac:dyDescent="0.25">
      <c r="A816" s="1011">
        <v>74125543</v>
      </c>
      <c r="B816" s="1011" t="s">
        <v>3677</v>
      </c>
      <c r="C816" s="1011" t="s">
        <v>3488</v>
      </c>
      <c r="D816" s="1011" t="s">
        <v>72</v>
      </c>
      <c r="E816" s="1011" t="s">
        <v>1612</v>
      </c>
      <c r="F816" s="1011" t="s">
        <v>2569</v>
      </c>
    </row>
    <row r="817" spans="1:6" x14ac:dyDescent="0.25">
      <c r="A817" s="1011">
        <v>24125999</v>
      </c>
      <c r="B817" s="1011" t="s">
        <v>3678</v>
      </c>
      <c r="C817" s="1011" t="s">
        <v>3679</v>
      </c>
      <c r="D817" s="1011" t="s">
        <v>1672</v>
      </c>
      <c r="E817" s="1011" t="s">
        <v>1593</v>
      </c>
      <c r="F817" s="1011" t="s">
        <v>1407</v>
      </c>
    </row>
    <row r="818" spans="1:6" x14ac:dyDescent="0.25">
      <c r="A818" s="1011">
        <v>94173259</v>
      </c>
      <c r="B818" s="1011" t="s">
        <v>3680</v>
      </c>
      <c r="C818" s="1011" t="s">
        <v>2205</v>
      </c>
      <c r="D818" s="1011" t="s">
        <v>1831</v>
      </c>
      <c r="E818" s="1011" t="s">
        <v>1588</v>
      </c>
      <c r="F818" s="1011" t="s">
        <v>1832</v>
      </c>
    </row>
    <row r="819" spans="1:6" x14ac:dyDescent="0.25">
      <c r="A819" s="1011">
        <v>73824161</v>
      </c>
      <c r="B819" s="1011" t="s">
        <v>3681</v>
      </c>
      <c r="C819" s="1011" t="s">
        <v>3682</v>
      </c>
      <c r="D819" s="1011" t="s">
        <v>1756</v>
      </c>
      <c r="E819" s="1011" t="s">
        <v>1593</v>
      </c>
      <c r="F819" s="1011" t="s">
        <v>1429</v>
      </c>
    </row>
    <row r="820" spans="1:6" x14ac:dyDescent="0.25">
      <c r="A820" s="1011">
        <v>44123677</v>
      </c>
      <c r="B820" s="1011" t="s">
        <v>3683</v>
      </c>
      <c r="C820" s="1011" t="s">
        <v>3684</v>
      </c>
      <c r="D820" s="1011" t="s">
        <v>1127</v>
      </c>
      <c r="E820" s="1011" t="s">
        <v>1593</v>
      </c>
      <c r="F820" s="1011" t="s">
        <v>1449</v>
      </c>
    </row>
    <row r="821" spans="1:6" x14ac:dyDescent="0.25">
      <c r="A821" s="1011">
        <v>4124004</v>
      </c>
      <c r="B821" s="1011" t="s">
        <v>3685</v>
      </c>
      <c r="C821" s="1011" t="s">
        <v>3686</v>
      </c>
      <c r="D821" s="1011" t="s">
        <v>1899</v>
      </c>
      <c r="E821" s="1011" t="s">
        <v>1583</v>
      </c>
      <c r="F821" s="1011" t="s">
        <v>1900</v>
      </c>
    </row>
    <row r="822" spans="1:6" x14ac:dyDescent="0.25">
      <c r="A822" s="1011">
        <v>34126078</v>
      </c>
      <c r="B822" s="1011" t="s">
        <v>3687</v>
      </c>
      <c r="C822" s="1011" t="s">
        <v>3688</v>
      </c>
      <c r="D822" s="1011" t="s">
        <v>1125</v>
      </c>
      <c r="E822" s="1011" t="s">
        <v>1588</v>
      </c>
      <c r="F822" s="1011" t="s">
        <v>1770</v>
      </c>
    </row>
    <row r="823" spans="1:6" x14ac:dyDescent="0.25">
      <c r="A823" s="1011">
        <v>74123423</v>
      </c>
      <c r="B823" s="1011" t="s">
        <v>3689</v>
      </c>
      <c r="C823" s="1011" t="s">
        <v>3690</v>
      </c>
      <c r="D823" s="1011" t="s">
        <v>3691</v>
      </c>
      <c r="E823" s="1011" t="s">
        <v>1593</v>
      </c>
      <c r="F823" s="1011" t="s">
        <v>1455</v>
      </c>
    </row>
    <row r="824" spans="1:6" x14ac:dyDescent="0.25">
      <c r="A824" s="1011">
        <v>34124230</v>
      </c>
      <c r="B824" s="1011" t="s">
        <v>3692</v>
      </c>
      <c r="C824" s="1011" t="s">
        <v>3693</v>
      </c>
      <c r="D824" s="1011" t="s">
        <v>1869</v>
      </c>
      <c r="E824" s="1011" t="s">
        <v>1593</v>
      </c>
      <c r="F824" s="1011" t="s">
        <v>3694</v>
      </c>
    </row>
    <row r="825" spans="1:6" x14ac:dyDescent="0.25">
      <c r="A825" s="1011">
        <v>34125484</v>
      </c>
      <c r="B825" s="1011" t="s">
        <v>3695</v>
      </c>
      <c r="C825" s="1011" t="s">
        <v>3696</v>
      </c>
      <c r="D825" s="1011" t="s">
        <v>3697</v>
      </c>
      <c r="E825" s="1011" t="s">
        <v>1588</v>
      </c>
      <c r="F825" s="1011" t="s">
        <v>3698</v>
      </c>
    </row>
    <row r="826" spans="1:6" x14ac:dyDescent="0.25">
      <c r="A826" s="1011">
        <v>94125747</v>
      </c>
      <c r="B826" s="1011" t="s">
        <v>3699</v>
      </c>
      <c r="C826" s="1011" t="s">
        <v>3700</v>
      </c>
      <c r="D826" s="1011" t="s">
        <v>1125</v>
      </c>
      <c r="E826" s="1011" t="s">
        <v>1588</v>
      </c>
      <c r="F826" s="1011" t="s">
        <v>1682</v>
      </c>
    </row>
    <row r="827" spans="1:6" x14ac:dyDescent="0.25">
      <c r="A827" s="1011">
        <v>23839145</v>
      </c>
      <c r="B827" s="1011" t="s">
        <v>3701</v>
      </c>
      <c r="C827" s="1011" t="s">
        <v>3702</v>
      </c>
      <c r="D827" s="1011" t="s">
        <v>1756</v>
      </c>
      <c r="E827" s="1011" t="s">
        <v>1593</v>
      </c>
      <c r="F827" s="1011" t="s">
        <v>1429</v>
      </c>
    </row>
    <row r="828" spans="1:6" x14ac:dyDescent="0.25">
      <c r="A828" s="1011">
        <v>4125761</v>
      </c>
      <c r="B828" s="1011" t="s">
        <v>3703</v>
      </c>
      <c r="C828" s="1011" t="s">
        <v>3704</v>
      </c>
      <c r="D828" s="1011" t="s">
        <v>1125</v>
      </c>
      <c r="E828" s="1011" t="s">
        <v>1588</v>
      </c>
      <c r="F828" s="1011" t="s">
        <v>1619</v>
      </c>
    </row>
    <row r="829" spans="1:6" x14ac:dyDescent="0.25">
      <c r="A829" s="1011">
        <v>34125385</v>
      </c>
      <c r="B829" s="1011" t="s">
        <v>3705</v>
      </c>
      <c r="C829" s="1011" t="s">
        <v>3706</v>
      </c>
      <c r="D829" s="1011" t="s">
        <v>1672</v>
      </c>
      <c r="E829" s="1011" t="s">
        <v>1593</v>
      </c>
      <c r="F829" s="1011" t="s">
        <v>1407</v>
      </c>
    </row>
    <row r="830" spans="1:6" x14ac:dyDescent="0.25">
      <c r="A830" s="1011">
        <v>74167362</v>
      </c>
      <c r="B830" s="1011" t="s">
        <v>3707</v>
      </c>
      <c r="C830" s="1011" t="s">
        <v>3708</v>
      </c>
      <c r="D830" s="1011" t="s">
        <v>1921</v>
      </c>
      <c r="E830" s="1011" t="s">
        <v>1583</v>
      </c>
      <c r="F830" s="1011" t="s">
        <v>1922</v>
      </c>
    </row>
    <row r="831" spans="1:6" x14ac:dyDescent="0.25">
      <c r="A831" s="1011">
        <v>14163844</v>
      </c>
      <c r="B831" s="1011" t="s">
        <v>3709</v>
      </c>
      <c r="C831" s="1011" t="s">
        <v>3710</v>
      </c>
      <c r="D831" s="1011" t="s">
        <v>1909</v>
      </c>
      <c r="E831" s="1011" t="s">
        <v>1588</v>
      </c>
      <c r="F831" s="1011" t="s">
        <v>1910</v>
      </c>
    </row>
    <row r="832" spans="1:6" x14ac:dyDescent="0.25">
      <c r="A832" s="1011">
        <v>74167917</v>
      </c>
      <c r="B832" s="1011" t="s">
        <v>3711</v>
      </c>
      <c r="C832" s="1011" t="s">
        <v>3712</v>
      </c>
      <c r="D832" s="1011" t="s">
        <v>1792</v>
      </c>
      <c r="E832" s="1011" t="s">
        <v>1588</v>
      </c>
      <c r="F832" s="1011" t="s">
        <v>1793</v>
      </c>
    </row>
    <row r="833" spans="1:6" x14ac:dyDescent="0.25">
      <c r="A833" s="1011">
        <v>44224772</v>
      </c>
      <c r="B833" s="1011" t="s">
        <v>3713</v>
      </c>
      <c r="C833" s="1011" t="s">
        <v>3714</v>
      </c>
      <c r="D833" s="1011" t="s">
        <v>1728</v>
      </c>
      <c r="E833" s="1011" t="s">
        <v>1593</v>
      </c>
      <c r="F833" s="1011" t="s">
        <v>1729</v>
      </c>
    </row>
    <row r="834" spans="1:6" x14ac:dyDescent="0.25">
      <c r="A834" s="1011">
        <v>84125897</v>
      </c>
      <c r="B834" s="1011" t="s">
        <v>3715</v>
      </c>
      <c r="C834" s="1011" t="s">
        <v>3716</v>
      </c>
      <c r="D834" s="1011" t="s">
        <v>1644</v>
      </c>
      <c r="E834" s="1011" t="s">
        <v>1588</v>
      </c>
      <c r="F834" s="1011" t="s">
        <v>1645</v>
      </c>
    </row>
    <row r="835" spans="1:6" x14ac:dyDescent="0.25">
      <c r="A835" s="1011">
        <v>34240713</v>
      </c>
      <c r="B835" s="1011" t="s">
        <v>3717</v>
      </c>
      <c r="C835" s="1011" t="s">
        <v>3718</v>
      </c>
      <c r="D835" s="1011" t="s">
        <v>1127</v>
      </c>
      <c r="E835" s="1011" t="s">
        <v>1593</v>
      </c>
      <c r="F835" s="1011" t="s">
        <v>1383</v>
      </c>
    </row>
    <row r="836" spans="1:6" x14ac:dyDescent="0.25">
      <c r="A836" s="1011">
        <v>34163238</v>
      </c>
      <c r="B836" s="1011" t="s">
        <v>3719</v>
      </c>
      <c r="C836" s="1011" t="s">
        <v>3720</v>
      </c>
      <c r="D836" s="1011" t="s">
        <v>2439</v>
      </c>
      <c r="E836" s="1011" t="s">
        <v>1583</v>
      </c>
      <c r="F836" s="1011" t="s">
        <v>2440</v>
      </c>
    </row>
    <row r="837" spans="1:6" x14ac:dyDescent="0.25">
      <c r="A837" s="1011">
        <v>94124146</v>
      </c>
      <c r="B837" s="1011" t="s">
        <v>3721</v>
      </c>
      <c r="C837" s="1011" t="s">
        <v>3722</v>
      </c>
      <c r="D837" s="1011" t="s">
        <v>2074</v>
      </c>
      <c r="E837" s="1011" t="s">
        <v>1593</v>
      </c>
      <c r="F837" s="1011" t="s">
        <v>2075</v>
      </c>
    </row>
    <row r="838" spans="1:6" x14ac:dyDescent="0.25">
      <c r="A838" s="1011">
        <v>64125313</v>
      </c>
      <c r="B838" s="1011" t="s">
        <v>3723</v>
      </c>
      <c r="C838" s="1011" t="s">
        <v>3724</v>
      </c>
      <c r="D838" s="1011" t="s">
        <v>2153</v>
      </c>
      <c r="E838" s="1011" t="s">
        <v>1588</v>
      </c>
      <c r="F838" s="1011" t="s">
        <v>1399</v>
      </c>
    </row>
    <row r="839" spans="1:6" x14ac:dyDescent="0.25">
      <c r="A839" s="1011">
        <v>44125706</v>
      </c>
      <c r="B839" s="1011" t="s">
        <v>3725</v>
      </c>
      <c r="C839" s="1011" t="s">
        <v>3726</v>
      </c>
      <c r="D839" s="1011" t="s">
        <v>2871</v>
      </c>
      <c r="E839" s="1011" t="s">
        <v>1588</v>
      </c>
      <c r="F839" s="1011" t="s">
        <v>2872</v>
      </c>
    </row>
    <row r="840" spans="1:6" x14ac:dyDescent="0.25">
      <c r="A840" s="1011">
        <v>94124203</v>
      </c>
      <c r="B840" s="1011" t="s">
        <v>3727</v>
      </c>
      <c r="C840" s="1011" t="s">
        <v>3728</v>
      </c>
      <c r="D840" s="1011" t="s">
        <v>3729</v>
      </c>
      <c r="E840" s="1011" t="s">
        <v>1583</v>
      </c>
      <c r="F840" s="1011" t="s">
        <v>3730</v>
      </c>
    </row>
    <row r="841" spans="1:6" x14ac:dyDescent="0.25">
      <c r="A841" s="1011">
        <v>24126054</v>
      </c>
      <c r="B841" s="1011" t="s">
        <v>3731</v>
      </c>
      <c r="C841" s="1011" t="s">
        <v>3732</v>
      </c>
      <c r="D841" s="1011" t="s">
        <v>1927</v>
      </c>
      <c r="E841" s="1011" t="s">
        <v>1588</v>
      </c>
      <c r="F841" s="1011" t="s">
        <v>1928</v>
      </c>
    </row>
    <row r="842" spans="1:6" x14ac:dyDescent="0.25">
      <c r="A842" s="1011">
        <v>4124079</v>
      </c>
      <c r="B842" s="1011" t="s">
        <v>3733</v>
      </c>
      <c r="C842" s="1011" t="s">
        <v>3734</v>
      </c>
      <c r="D842" s="1011" t="s">
        <v>1127</v>
      </c>
      <c r="E842" s="1011" t="s">
        <v>1593</v>
      </c>
      <c r="F842" s="1011" t="s">
        <v>1461</v>
      </c>
    </row>
    <row r="843" spans="1:6" x14ac:dyDescent="0.25">
      <c r="A843" s="1011">
        <v>44123719</v>
      </c>
      <c r="B843" s="1011" t="s">
        <v>3735</v>
      </c>
      <c r="C843" s="1011" t="s">
        <v>3736</v>
      </c>
      <c r="D843" s="1011" t="s">
        <v>1728</v>
      </c>
      <c r="E843" s="1011" t="s">
        <v>1593</v>
      </c>
      <c r="F843" s="1011" t="s">
        <v>1729</v>
      </c>
    </row>
    <row r="844" spans="1:6" x14ac:dyDescent="0.25">
      <c r="A844" s="1011">
        <v>84124122</v>
      </c>
      <c r="B844" s="1011" t="s">
        <v>3737</v>
      </c>
      <c r="C844" s="1011" t="s">
        <v>3738</v>
      </c>
      <c r="D844" s="1011" t="s">
        <v>1127</v>
      </c>
      <c r="E844" s="1011" t="s">
        <v>1593</v>
      </c>
      <c r="F844" s="1011" t="s">
        <v>1445</v>
      </c>
    </row>
    <row r="845" spans="1:6" x14ac:dyDescent="0.25">
      <c r="A845" s="1011">
        <v>74123340</v>
      </c>
      <c r="B845" s="1011" t="s">
        <v>3739</v>
      </c>
      <c r="C845" s="1011" t="s">
        <v>3372</v>
      </c>
      <c r="D845" s="1011" t="s">
        <v>2133</v>
      </c>
      <c r="E845" s="1011" t="s">
        <v>1593</v>
      </c>
      <c r="F845" s="1011" t="s">
        <v>2134</v>
      </c>
    </row>
    <row r="846" spans="1:6" x14ac:dyDescent="0.25">
      <c r="A846" s="1011">
        <v>34125765</v>
      </c>
      <c r="B846" s="1011" t="s">
        <v>3740</v>
      </c>
      <c r="C846" s="1011" t="s">
        <v>3741</v>
      </c>
      <c r="D846" s="1011" t="s">
        <v>2228</v>
      </c>
      <c r="E846" s="1011" t="s">
        <v>1588</v>
      </c>
      <c r="F846" s="1011" t="s">
        <v>2229</v>
      </c>
    </row>
    <row r="847" spans="1:6" x14ac:dyDescent="0.25">
      <c r="A847" s="1011">
        <v>34124115</v>
      </c>
      <c r="B847" s="1011" t="s">
        <v>3742</v>
      </c>
      <c r="C847" s="1011" t="s">
        <v>3743</v>
      </c>
      <c r="D847" s="1011" t="s">
        <v>1658</v>
      </c>
      <c r="E847" s="1011" t="s">
        <v>1593</v>
      </c>
      <c r="F847" s="1011" t="s">
        <v>1659</v>
      </c>
    </row>
    <row r="848" spans="1:6" x14ac:dyDescent="0.25">
      <c r="A848" s="1011">
        <v>14163653</v>
      </c>
      <c r="B848" s="1011" t="s">
        <v>2797</v>
      </c>
      <c r="C848" s="1011" t="s">
        <v>3744</v>
      </c>
      <c r="D848" s="1011" t="s">
        <v>1127</v>
      </c>
      <c r="E848" s="1011" t="s">
        <v>1593</v>
      </c>
      <c r="F848" s="1011" t="s">
        <v>1383</v>
      </c>
    </row>
    <row r="849" spans="1:6" x14ac:dyDescent="0.25">
      <c r="A849" s="1011">
        <v>74163692</v>
      </c>
      <c r="B849" s="1011" t="s">
        <v>3745</v>
      </c>
      <c r="C849" s="1011" t="s">
        <v>3746</v>
      </c>
      <c r="D849" s="1011" t="s">
        <v>1819</v>
      </c>
      <c r="E849" s="1011" t="s">
        <v>1588</v>
      </c>
      <c r="F849" s="1011" t="s">
        <v>1820</v>
      </c>
    </row>
    <row r="850" spans="1:6" x14ac:dyDescent="0.25">
      <c r="A850" s="1011">
        <v>94137817</v>
      </c>
      <c r="B850" s="1011" t="s">
        <v>3747</v>
      </c>
      <c r="C850" s="1011" t="s">
        <v>3748</v>
      </c>
      <c r="D850" s="1011" t="s">
        <v>2313</v>
      </c>
      <c r="E850" s="1011" t="s">
        <v>1588</v>
      </c>
      <c r="F850" s="1011" t="s">
        <v>1347</v>
      </c>
    </row>
    <row r="851" spans="1:6" x14ac:dyDescent="0.25">
      <c r="A851" s="1011">
        <v>84124429</v>
      </c>
      <c r="B851" s="1011" t="s">
        <v>3749</v>
      </c>
      <c r="C851" s="1011" t="s">
        <v>3750</v>
      </c>
      <c r="D851" s="1011" t="s">
        <v>3751</v>
      </c>
      <c r="E851" s="1011" t="s">
        <v>1583</v>
      </c>
      <c r="F851" s="1011" t="s">
        <v>3752</v>
      </c>
    </row>
    <row r="852" spans="1:6" x14ac:dyDescent="0.25">
      <c r="A852" s="1011">
        <v>34125948</v>
      </c>
      <c r="B852" s="1011" t="s">
        <v>3753</v>
      </c>
      <c r="C852" s="1011" t="s">
        <v>3754</v>
      </c>
      <c r="D852" s="1011" t="s">
        <v>1125</v>
      </c>
      <c r="E852" s="1011" t="s">
        <v>1588</v>
      </c>
      <c r="F852" s="1011" t="s">
        <v>1619</v>
      </c>
    </row>
    <row r="853" spans="1:6" x14ac:dyDescent="0.25">
      <c r="A853" s="1011">
        <v>44182947</v>
      </c>
      <c r="B853" s="1011" t="s">
        <v>3755</v>
      </c>
      <c r="C853" s="1011" t="s">
        <v>3756</v>
      </c>
      <c r="D853" s="1011" t="s">
        <v>2594</v>
      </c>
      <c r="E853" s="1011" t="s">
        <v>1593</v>
      </c>
      <c r="F853" s="1011" t="s">
        <v>2595</v>
      </c>
    </row>
    <row r="854" spans="1:6" x14ac:dyDescent="0.25">
      <c r="A854" s="1011">
        <v>54123575</v>
      </c>
      <c r="B854" s="1011" t="s">
        <v>3757</v>
      </c>
      <c r="C854" s="1011" t="s">
        <v>3758</v>
      </c>
      <c r="D854" s="1011" t="s">
        <v>1127</v>
      </c>
      <c r="E854" s="1011" t="s">
        <v>1593</v>
      </c>
      <c r="F854" s="1011" t="s">
        <v>1375</v>
      </c>
    </row>
    <row r="855" spans="1:6" x14ac:dyDescent="0.25">
      <c r="A855" s="1011">
        <v>94123932</v>
      </c>
      <c r="B855" s="1011" t="s">
        <v>3759</v>
      </c>
      <c r="C855" s="1011" t="s">
        <v>3760</v>
      </c>
      <c r="D855" s="1011" t="s">
        <v>2080</v>
      </c>
      <c r="E855" s="1011" t="s">
        <v>1593</v>
      </c>
      <c r="F855" s="1011" t="s">
        <v>2081</v>
      </c>
    </row>
    <row r="856" spans="1:6" x14ac:dyDescent="0.25">
      <c r="A856" s="1011">
        <v>94124500</v>
      </c>
      <c r="B856" s="1011" t="s">
        <v>3761</v>
      </c>
      <c r="C856" s="1011" t="s">
        <v>3762</v>
      </c>
      <c r="D856" s="1011" t="s">
        <v>1605</v>
      </c>
      <c r="E856" s="1011" t="s">
        <v>1593</v>
      </c>
      <c r="F856" s="1011" t="s">
        <v>1606</v>
      </c>
    </row>
    <row r="857" spans="1:6" x14ac:dyDescent="0.25">
      <c r="A857" s="1011">
        <v>84125368</v>
      </c>
      <c r="B857" s="1011" t="s">
        <v>3763</v>
      </c>
      <c r="C857" s="1011" t="s">
        <v>3764</v>
      </c>
      <c r="D857" s="1011" t="s">
        <v>1125</v>
      </c>
      <c r="E857" s="1011" t="s">
        <v>1588</v>
      </c>
      <c r="F857" s="1011" t="s">
        <v>1770</v>
      </c>
    </row>
    <row r="858" spans="1:6" x14ac:dyDescent="0.25">
      <c r="A858" s="1011">
        <v>14125538</v>
      </c>
      <c r="B858" s="1011" t="s">
        <v>3765</v>
      </c>
      <c r="C858" s="1011" t="s">
        <v>3766</v>
      </c>
      <c r="D858" s="1011" t="s">
        <v>1732</v>
      </c>
      <c r="E858" s="1011" t="s">
        <v>1588</v>
      </c>
      <c r="F858" s="1011" t="s">
        <v>1369</v>
      </c>
    </row>
    <row r="859" spans="1:6" x14ac:dyDescent="0.25">
      <c r="A859" s="1011">
        <v>54126065</v>
      </c>
      <c r="B859" s="1011" t="s">
        <v>3767</v>
      </c>
      <c r="C859" s="1011" t="s">
        <v>3768</v>
      </c>
      <c r="D859" s="1011" t="s">
        <v>3517</v>
      </c>
      <c r="E859" s="1011" t="s">
        <v>1588</v>
      </c>
      <c r="F859" s="1011" t="s">
        <v>3518</v>
      </c>
    </row>
    <row r="860" spans="1:6" x14ac:dyDescent="0.25">
      <c r="A860" s="1011">
        <v>54125356</v>
      </c>
      <c r="B860" s="1011" t="s">
        <v>3769</v>
      </c>
      <c r="C860" s="1011" t="s">
        <v>3770</v>
      </c>
      <c r="D860" s="1011" t="s">
        <v>72</v>
      </c>
      <c r="E860" s="1011" t="s">
        <v>1612</v>
      </c>
      <c r="F860" s="1011" t="s">
        <v>2939</v>
      </c>
    </row>
    <row r="861" spans="1:6" x14ac:dyDescent="0.25">
      <c r="A861" s="1011">
        <v>74124330</v>
      </c>
      <c r="B861" s="1011" t="s">
        <v>3771</v>
      </c>
      <c r="C861" s="1011" t="s">
        <v>3772</v>
      </c>
      <c r="D861" s="1011" t="s">
        <v>2380</v>
      </c>
      <c r="E861" s="1011" t="s">
        <v>1593</v>
      </c>
      <c r="F861" s="1011" t="s">
        <v>2381</v>
      </c>
    </row>
    <row r="862" spans="1:6" x14ac:dyDescent="0.25">
      <c r="A862" s="1011">
        <v>24258618</v>
      </c>
      <c r="B862" s="1011" t="s">
        <v>2931</v>
      </c>
      <c r="C862" s="1011" t="s">
        <v>2932</v>
      </c>
      <c r="D862" s="1011" t="s">
        <v>1125</v>
      </c>
      <c r="E862" s="1011" t="s">
        <v>1588</v>
      </c>
      <c r="F862" s="1011" t="s">
        <v>1361</v>
      </c>
    </row>
    <row r="863" spans="1:6" x14ac:dyDescent="0.25">
      <c r="A863" s="1011">
        <v>64126055</v>
      </c>
      <c r="B863" s="1011" t="s">
        <v>3773</v>
      </c>
      <c r="C863" s="1011" t="s">
        <v>3774</v>
      </c>
      <c r="D863" s="1011" t="s">
        <v>1819</v>
      </c>
      <c r="E863" s="1011" t="s">
        <v>1588</v>
      </c>
      <c r="F863" s="1011" t="s">
        <v>1820</v>
      </c>
    </row>
    <row r="864" spans="1:6" x14ac:dyDescent="0.25">
      <c r="A864" s="1011">
        <v>24126070</v>
      </c>
      <c r="B864" s="1011" t="s">
        <v>3775</v>
      </c>
      <c r="C864" s="1011" t="s">
        <v>3776</v>
      </c>
      <c r="D864" s="1011" t="s">
        <v>3777</v>
      </c>
      <c r="E864" s="1011" t="s">
        <v>1588</v>
      </c>
      <c r="F864" s="1011" t="s">
        <v>3778</v>
      </c>
    </row>
    <row r="865" spans="1:6" x14ac:dyDescent="0.25">
      <c r="A865" s="1011">
        <v>34123349</v>
      </c>
      <c r="B865" s="1011" t="s">
        <v>3779</v>
      </c>
      <c r="C865" s="1011" t="s">
        <v>3780</v>
      </c>
      <c r="D865" s="1011" t="s">
        <v>1675</v>
      </c>
      <c r="E865" s="1011" t="s">
        <v>1593</v>
      </c>
      <c r="F865" s="1011" t="s">
        <v>1676</v>
      </c>
    </row>
    <row r="866" spans="1:6" x14ac:dyDescent="0.25">
      <c r="A866" s="1011">
        <v>44125276</v>
      </c>
      <c r="B866" s="1011" t="s">
        <v>3781</v>
      </c>
      <c r="C866" s="1011" t="s">
        <v>3782</v>
      </c>
      <c r="D866" s="1011" t="s">
        <v>72</v>
      </c>
      <c r="E866" s="1011" t="s">
        <v>1612</v>
      </c>
      <c r="F866" s="1011" t="s">
        <v>3783</v>
      </c>
    </row>
    <row r="867" spans="1:6" x14ac:dyDescent="0.25">
      <c r="A867" s="1011">
        <v>64123698</v>
      </c>
      <c r="B867" s="1011" t="s">
        <v>3784</v>
      </c>
      <c r="C867" s="1011" t="s">
        <v>3785</v>
      </c>
      <c r="D867" s="1011" t="s">
        <v>3786</v>
      </c>
      <c r="E867" s="1011" t="s">
        <v>1583</v>
      </c>
      <c r="F867" s="1011" t="s">
        <v>3787</v>
      </c>
    </row>
    <row r="868" spans="1:6" x14ac:dyDescent="0.25">
      <c r="A868" s="1011">
        <v>84126002</v>
      </c>
      <c r="B868" s="1011" t="s">
        <v>2895</v>
      </c>
      <c r="C868" s="1011" t="s">
        <v>3788</v>
      </c>
      <c r="D868" s="1011" t="s">
        <v>2897</v>
      </c>
      <c r="E868" s="1011" t="s">
        <v>1612</v>
      </c>
      <c r="F868" s="1011" t="s">
        <v>2898</v>
      </c>
    </row>
    <row r="869" spans="1:6" x14ac:dyDescent="0.25">
      <c r="A869" s="1011">
        <v>43992254</v>
      </c>
      <c r="B869" s="1011" t="s">
        <v>3789</v>
      </c>
      <c r="C869" s="1011" t="s">
        <v>3790</v>
      </c>
      <c r="D869" s="1011" t="s">
        <v>1892</v>
      </c>
      <c r="E869" s="1011" t="s">
        <v>1583</v>
      </c>
      <c r="F869" s="1011" t="s">
        <v>1371</v>
      </c>
    </row>
    <row r="870" spans="1:6" x14ac:dyDescent="0.25">
      <c r="A870" s="1011">
        <v>4249272</v>
      </c>
      <c r="B870" s="1011" t="s">
        <v>3791</v>
      </c>
      <c r="C870" s="1011" t="s">
        <v>3792</v>
      </c>
      <c r="D870" s="1011" t="s">
        <v>1815</v>
      </c>
      <c r="E870" s="1011" t="s">
        <v>1593</v>
      </c>
      <c r="F870" s="1011" t="s">
        <v>1816</v>
      </c>
    </row>
    <row r="871" spans="1:6" x14ac:dyDescent="0.25">
      <c r="A871" s="1011">
        <v>94252376</v>
      </c>
      <c r="B871" s="1011" t="s">
        <v>3793</v>
      </c>
      <c r="C871" s="1011" t="s">
        <v>3794</v>
      </c>
      <c r="D871" s="1011" t="s">
        <v>2678</v>
      </c>
      <c r="E871" s="1011" t="s">
        <v>1593</v>
      </c>
      <c r="F871" s="1011" t="s">
        <v>2679</v>
      </c>
    </row>
    <row r="872" spans="1:6" x14ac:dyDescent="0.25">
      <c r="A872" s="1011">
        <v>84125269</v>
      </c>
      <c r="B872" s="1011" t="s">
        <v>3795</v>
      </c>
      <c r="C872" s="1011" t="s">
        <v>3796</v>
      </c>
      <c r="D872" s="1011" t="s">
        <v>1884</v>
      </c>
      <c r="E872" s="1011" t="s">
        <v>1593</v>
      </c>
      <c r="F872" s="1011" t="s">
        <v>1885</v>
      </c>
    </row>
    <row r="873" spans="1:6" x14ac:dyDescent="0.25">
      <c r="A873" s="1011">
        <v>84125814</v>
      </c>
      <c r="B873" s="1011" t="s">
        <v>3797</v>
      </c>
      <c r="C873" s="1011" t="s">
        <v>3642</v>
      </c>
      <c r="D873" s="1011" t="s">
        <v>1125</v>
      </c>
      <c r="E873" s="1011" t="s">
        <v>1588</v>
      </c>
      <c r="F873" s="1011" t="s">
        <v>1616</v>
      </c>
    </row>
    <row r="874" spans="1:6" x14ac:dyDescent="0.25">
      <c r="A874" s="1011">
        <v>94124195</v>
      </c>
      <c r="B874" s="1011" t="s">
        <v>3798</v>
      </c>
      <c r="C874" s="1011" t="s">
        <v>3799</v>
      </c>
      <c r="D874" s="1011" t="s">
        <v>3509</v>
      </c>
      <c r="E874" s="1011" t="s">
        <v>1583</v>
      </c>
      <c r="F874" s="1011" t="s">
        <v>3510</v>
      </c>
    </row>
    <row r="875" spans="1:6" x14ac:dyDescent="0.25">
      <c r="A875" s="1011">
        <v>94056983</v>
      </c>
      <c r="B875" s="1011" t="s">
        <v>3800</v>
      </c>
      <c r="C875" s="1011" t="s">
        <v>3801</v>
      </c>
      <c r="D875" s="1011" t="s">
        <v>3802</v>
      </c>
      <c r="E875" s="1011" t="s">
        <v>1593</v>
      </c>
      <c r="F875" s="1011" t="s">
        <v>1359</v>
      </c>
    </row>
    <row r="876" spans="1:6" x14ac:dyDescent="0.25">
      <c r="A876" s="1011">
        <v>34123810</v>
      </c>
      <c r="B876" s="1011" t="s">
        <v>3803</v>
      </c>
      <c r="C876" s="1011" t="s">
        <v>3804</v>
      </c>
      <c r="D876" s="1011" t="s">
        <v>2726</v>
      </c>
      <c r="E876" s="1011" t="s">
        <v>1593</v>
      </c>
      <c r="F876" s="1011" t="s">
        <v>2727</v>
      </c>
    </row>
    <row r="877" spans="1:6" x14ac:dyDescent="0.25">
      <c r="A877" s="1011">
        <v>64125446</v>
      </c>
      <c r="B877" s="1011" t="s">
        <v>3805</v>
      </c>
      <c r="C877" s="1011" t="s">
        <v>3806</v>
      </c>
      <c r="D877" s="1011" t="s">
        <v>1596</v>
      </c>
      <c r="E877" s="1011" t="s">
        <v>1593</v>
      </c>
      <c r="F877" s="1011" t="s">
        <v>1351</v>
      </c>
    </row>
    <row r="878" spans="1:6" x14ac:dyDescent="0.25">
      <c r="A878" s="1011">
        <v>24123895</v>
      </c>
      <c r="B878" s="1011" t="s">
        <v>3807</v>
      </c>
      <c r="C878" s="1011" t="s">
        <v>3808</v>
      </c>
      <c r="D878" s="1011" t="s">
        <v>1728</v>
      </c>
      <c r="E878" s="1011" t="s">
        <v>1593</v>
      </c>
      <c r="F878" s="1011" t="s">
        <v>1729</v>
      </c>
    </row>
    <row r="879" spans="1:6" x14ac:dyDescent="0.25">
      <c r="A879" s="1011">
        <v>34230466</v>
      </c>
      <c r="B879" s="1011" t="s">
        <v>3809</v>
      </c>
      <c r="C879" s="1011" t="s">
        <v>3810</v>
      </c>
      <c r="D879" s="1011" t="s">
        <v>1735</v>
      </c>
      <c r="E879" s="1011" t="s">
        <v>1588</v>
      </c>
      <c r="F879" s="1011" t="s">
        <v>1736</v>
      </c>
    </row>
    <row r="880" spans="1:6" x14ac:dyDescent="0.25">
      <c r="A880" s="1011">
        <v>54124417</v>
      </c>
      <c r="B880" s="1011" t="s">
        <v>3811</v>
      </c>
      <c r="C880" s="1011" t="s">
        <v>3812</v>
      </c>
      <c r="D880" s="1011" t="s">
        <v>2246</v>
      </c>
      <c r="E880" s="1011" t="s">
        <v>1593</v>
      </c>
      <c r="F880" s="1011" t="s">
        <v>1431</v>
      </c>
    </row>
    <row r="881" spans="1:6" x14ac:dyDescent="0.25">
      <c r="A881" s="1011">
        <v>14124143</v>
      </c>
      <c r="B881" s="1011" t="s">
        <v>3813</v>
      </c>
      <c r="C881" s="1011" t="s">
        <v>3814</v>
      </c>
      <c r="D881" s="1011" t="s">
        <v>3815</v>
      </c>
      <c r="E881" s="1011" t="s">
        <v>1583</v>
      </c>
      <c r="F881" s="1011" t="s">
        <v>3816</v>
      </c>
    </row>
    <row r="882" spans="1:6" x14ac:dyDescent="0.25">
      <c r="A882" s="1011">
        <v>4125803</v>
      </c>
      <c r="B882" s="1011" t="s">
        <v>3817</v>
      </c>
      <c r="C882" s="1011" t="s">
        <v>3818</v>
      </c>
      <c r="D882" s="1011" t="s">
        <v>1596</v>
      </c>
      <c r="E882" s="1011" t="s">
        <v>1593</v>
      </c>
      <c r="F882" s="1011" t="s">
        <v>1351</v>
      </c>
    </row>
    <row r="883" spans="1:6" x14ac:dyDescent="0.25">
      <c r="A883" s="1011">
        <v>34123836</v>
      </c>
      <c r="B883" s="1011" t="s">
        <v>3819</v>
      </c>
      <c r="C883" s="1011" t="s">
        <v>3820</v>
      </c>
      <c r="D883" s="1011" t="s">
        <v>3821</v>
      </c>
      <c r="E883" s="1011" t="s">
        <v>3822</v>
      </c>
      <c r="F883" s="1011" t="s">
        <v>3823</v>
      </c>
    </row>
    <row r="884" spans="1:6" x14ac:dyDescent="0.25">
      <c r="A884" s="1011">
        <v>54125935</v>
      </c>
      <c r="B884" s="1011" t="s">
        <v>3824</v>
      </c>
      <c r="C884" s="1011" t="s">
        <v>3825</v>
      </c>
      <c r="D884" s="1011" t="s">
        <v>1125</v>
      </c>
      <c r="E884" s="1011" t="s">
        <v>1588</v>
      </c>
      <c r="F884" s="1011" t="s">
        <v>1770</v>
      </c>
    </row>
    <row r="885" spans="1:6" x14ac:dyDescent="0.25">
      <c r="A885" s="1011">
        <v>94124633</v>
      </c>
      <c r="B885" s="1011" t="s">
        <v>3826</v>
      </c>
      <c r="C885" s="1011" t="s">
        <v>3827</v>
      </c>
      <c r="D885" s="1011" t="s">
        <v>3828</v>
      </c>
      <c r="E885" s="1011" t="s">
        <v>1593</v>
      </c>
      <c r="F885" s="1011" t="s">
        <v>3829</v>
      </c>
    </row>
    <row r="886" spans="1:6" x14ac:dyDescent="0.25">
      <c r="A886" s="1011">
        <v>4126025</v>
      </c>
      <c r="B886" s="1011" t="s">
        <v>3830</v>
      </c>
      <c r="C886" s="1011" t="s">
        <v>3831</v>
      </c>
      <c r="D886" s="1011" t="s">
        <v>2021</v>
      </c>
      <c r="E886" s="1011" t="s">
        <v>1588</v>
      </c>
      <c r="F886" s="1011" t="s">
        <v>2022</v>
      </c>
    </row>
    <row r="887" spans="1:6" x14ac:dyDescent="0.25">
      <c r="A887" s="1011">
        <v>24125791</v>
      </c>
      <c r="B887" s="1011" t="s">
        <v>3832</v>
      </c>
      <c r="C887" s="1011" t="s">
        <v>3833</v>
      </c>
      <c r="D887" s="1011" t="s">
        <v>72</v>
      </c>
      <c r="E887" s="1011" t="s">
        <v>1612</v>
      </c>
      <c r="F887" s="1011" t="s">
        <v>1739</v>
      </c>
    </row>
    <row r="888" spans="1:6" x14ac:dyDescent="0.25">
      <c r="A888" s="1011">
        <v>94125598</v>
      </c>
      <c r="B888" s="1011" t="s">
        <v>3834</v>
      </c>
      <c r="C888" s="1011" t="s">
        <v>3835</v>
      </c>
      <c r="D888" s="1011" t="s">
        <v>2295</v>
      </c>
      <c r="E888" s="1011" t="s">
        <v>1612</v>
      </c>
      <c r="F888" s="1011" t="s">
        <v>2296</v>
      </c>
    </row>
    <row r="889" spans="1:6" x14ac:dyDescent="0.25">
      <c r="A889" s="1011">
        <v>44124642</v>
      </c>
      <c r="B889" s="1011" t="s">
        <v>3836</v>
      </c>
      <c r="C889" s="1011" t="s">
        <v>3837</v>
      </c>
      <c r="D889" s="1011" t="s">
        <v>2329</v>
      </c>
      <c r="E889" s="1011" t="s">
        <v>1583</v>
      </c>
      <c r="F889" s="1011" t="s">
        <v>1423</v>
      </c>
    </row>
    <row r="890" spans="1:6" x14ac:dyDescent="0.25">
      <c r="A890" s="1011">
        <v>64011257</v>
      </c>
      <c r="B890" s="1011" t="s">
        <v>3838</v>
      </c>
      <c r="C890" s="1011" t="s">
        <v>2161</v>
      </c>
      <c r="D890" s="1011" t="s">
        <v>1756</v>
      </c>
      <c r="E890" s="1011" t="s">
        <v>1593</v>
      </c>
      <c r="F890" s="1011" t="s">
        <v>1429</v>
      </c>
    </row>
    <row r="891" spans="1:6" x14ac:dyDescent="0.25">
      <c r="A891" s="1011">
        <v>54123799</v>
      </c>
      <c r="B891" s="1011" t="s">
        <v>3839</v>
      </c>
      <c r="C891" s="1011" t="s">
        <v>3840</v>
      </c>
      <c r="D891" s="1011" t="s">
        <v>3841</v>
      </c>
      <c r="E891" s="1011" t="s">
        <v>1593</v>
      </c>
      <c r="F891" s="1011" t="s">
        <v>3842</v>
      </c>
    </row>
    <row r="892" spans="1:6" x14ac:dyDescent="0.25">
      <c r="A892" s="1011">
        <v>64125982</v>
      </c>
      <c r="B892" s="1011" t="s">
        <v>3843</v>
      </c>
      <c r="C892" s="1011" t="s">
        <v>3844</v>
      </c>
      <c r="D892" s="1011" t="s">
        <v>1596</v>
      </c>
      <c r="E892" s="1011" t="s">
        <v>1593</v>
      </c>
      <c r="F892" s="1011" t="s">
        <v>1351</v>
      </c>
    </row>
    <row r="893" spans="1:6" x14ac:dyDescent="0.25">
      <c r="A893" s="1011">
        <v>34125898</v>
      </c>
      <c r="B893" s="1011" t="s">
        <v>3845</v>
      </c>
      <c r="C893" s="1011" t="s">
        <v>3846</v>
      </c>
      <c r="D893" s="1011" t="s">
        <v>2295</v>
      </c>
      <c r="E893" s="1011" t="s">
        <v>1612</v>
      </c>
      <c r="F893" s="1011" t="s">
        <v>2296</v>
      </c>
    </row>
    <row r="894" spans="1:6" x14ac:dyDescent="0.25">
      <c r="A894" s="1011">
        <v>44125961</v>
      </c>
      <c r="B894" s="1011" t="s">
        <v>3847</v>
      </c>
      <c r="C894" s="1011" t="s">
        <v>3848</v>
      </c>
      <c r="D894" s="1011" t="s">
        <v>1125</v>
      </c>
      <c r="E894" s="1011" t="s">
        <v>1588</v>
      </c>
      <c r="F894" s="1011" t="s">
        <v>1619</v>
      </c>
    </row>
    <row r="895" spans="1:6" x14ac:dyDescent="0.25">
      <c r="A895" s="1011">
        <v>4124756</v>
      </c>
      <c r="B895" s="1011" t="s">
        <v>3849</v>
      </c>
      <c r="C895" s="1011" t="s">
        <v>3850</v>
      </c>
      <c r="D895" s="1011" t="s">
        <v>3851</v>
      </c>
      <c r="E895" s="1011" t="s">
        <v>1593</v>
      </c>
      <c r="F895" s="1011" t="s">
        <v>3852</v>
      </c>
    </row>
    <row r="896" spans="1:6" x14ac:dyDescent="0.25">
      <c r="A896" s="1011">
        <v>24124752</v>
      </c>
      <c r="B896" s="1011" t="s">
        <v>3853</v>
      </c>
      <c r="C896" s="1011" t="s">
        <v>3854</v>
      </c>
      <c r="D896" s="1011" t="s">
        <v>2390</v>
      </c>
      <c r="E896" s="1011" t="s">
        <v>1583</v>
      </c>
      <c r="F896" s="1011" t="s">
        <v>2391</v>
      </c>
    </row>
    <row r="897" spans="1:6" x14ac:dyDescent="0.25">
      <c r="A897" s="1011">
        <v>94125481</v>
      </c>
      <c r="B897" s="1011" t="s">
        <v>3855</v>
      </c>
      <c r="C897" s="1011" t="s">
        <v>3856</v>
      </c>
      <c r="D897" s="1011" t="s">
        <v>1125</v>
      </c>
      <c r="E897" s="1011" t="s">
        <v>1588</v>
      </c>
      <c r="F897" s="1011" t="s">
        <v>1361</v>
      </c>
    </row>
    <row r="898" spans="1:6" x14ac:dyDescent="0.25">
      <c r="A898" s="1011">
        <v>74125337</v>
      </c>
      <c r="B898" s="1011" t="s">
        <v>3857</v>
      </c>
      <c r="C898" s="1011" t="s">
        <v>3858</v>
      </c>
      <c r="D898" s="1011" t="s">
        <v>1943</v>
      </c>
      <c r="E898" s="1011" t="s">
        <v>1588</v>
      </c>
      <c r="F898" s="1011" t="s">
        <v>1944</v>
      </c>
    </row>
    <row r="899" spans="1:6" x14ac:dyDescent="0.25">
      <c r="A899" s="1011">
        <v>54125810</v>
      </c>
      <c r="B899" s="1011" t="s">
        <v>3859</v>
      </c>
      <c r="C899" s="1011" t="s">
        <v>3860</v>
      </c>
      <c r="D899" s="1011" t="s">
        <v>3054</v>
      </c>
      <c r="E899" s="1011" t="s">
        <v>1588</v>
      </c>
      <c r="F899" s="1011" t="s">
        <v>3055</v>
      </c>
    </row>
    <row r="900" spans="1:6" x14ac:dyDescent="0.25">
      <c r="A900" s="1011">
        <v>34125575</v>
      </c>
      <c r="B900" s="1011" t="s">
        <v>3861</v>
      </c>
      <c r="C900" s="1011" t="s">
        <v>3862</v>
      </c>
      <c r="D900" s="1011" t="s">
        <v>1909</v>
      </c>
      <c r="E900" s="1011" t="s">
        <v>1588</v>
      </c>
      <c r="F900" s="1011" t="s">
        <v>1910</v>
      </c>
    </row>
    <row r="901" spans="1:6" x14ac:dyDescent="0.25">
      <c r="A901" s="1011">
        <v>14124846</v>
      </c>
      <c r="B901" s="1011" t="s">
        <v>3863</v>
      </c>
      <c r="C901" s="1011" t="s">
        <v>3864</v>
      </c>
      <c r="D901" s="1011" t="s">
        <v>2275</v>
      </c>
      <c r="E901" s="1011" t="s">
        <v>1593</v>
      </c>
      <c r="F901" s="1011" t="s">
        <v>2276</v>
      </c>
    </row>
    <row r="902" spans="1:6" x14ac:dyDescent="0.25">
      <c r="A902" s="1011">
        <v>14123764</v>
      </c>
      <c r="B902" s="1011" t="s">
        <v>3865</v>
      </c>
      <c r="C902" s="1011" t="s">
        <v>3866</v>
      </c>
      <c r="D902" s="1011" t="s">
        <v>1710</v>
      </c>
      <c r="E902" s="1011" t="s">
        <v>1593</v>
      </c>
      <c r="F902" s="1011" t="s">
        <v>1711</v>
      </c>
    </row>
    <row r="903" spans="1:6" x14ac:dyDescent="0.25">
      <c r="A903" s="1011">
        <v>44123982</v>
      </c>
      <c r="B903" s="1011" t="s">
        <v>3867</v>
      </c>
      <c r="C903" s="1011" t="s">
        <v>3868</v>
      </c>
      <c r="D903" s="1011" t="s">
        <v>3869</v>
      </c>
      <c r="E903" s="1011" t="s">
        <v>1593</v>
      </c>
      <c r="F903" s="1011" t="s">
        <v>3870</v>
      </c>
    </row>
    <row r="904" spans="1:6" x14ac:dyDescent="0.25">
      <c r="A904" s="1011">
        <v>24125163</v>
      </c>
      <c r="B904" s="1011" t="s">
        <v>3871</v>
      </c>
      <c r="C904" s="1011" t="s">
        <v>3872</v>
      </c>
      <c r="D904" s="1011" t="s">
        <v>3828</v>
      </c>
      <c r="E904" s="1011" t="s">
        <v>1593</v>
      </c>
      <c r="F904" s="1011" t="s">
        <v>3829</v>
      </c>
    </row>
    <row r="905" spans="1:6" x14ac:dyDescent="0.25">
      <c r="A905" s="1011">
        <v>54124177</v>
      </c>
      <c r="B905" s="1011" t="s">
        <v>3873</v>
      </c>
      <c r="C905" s="1011" t="s">
        <v>3874</v>
      </c>
      <c r="D905" s="1011" t="s">
        <v>2469</v>
      </c>
      <c r="E905" s="1011" t="s">
        <v>1593</v>
      </c>
      <c r="F905" s="1011" t="s">
        <v>2470</v>
      </c>
    </row>
    <row r="906" spans="1:6" x14ac:dyDescent="0.25">
      <c r="A906" s="1011">
        <v>4124319</v>
      </c>
      <c r="B906" s="1011" t="s">
        <v>3875</v>
      </c>
      <c r="C906" s="1011" t="s">
        <v>3876</v>
      </c>
      <c r="D906" s="1011" t="s">
        <v>2678</v>
      </c>
      <c r="E906" s="1011" t="s">
        <v>1593</v>
      </c>
      <c r="F906" s="1011" t="s">
        <v>2679</v>
      </c>
    </row>
    <row r="907" spans="1:6" x14ac:dyDescent="0.25">
      <c r="A907" s="1011">
        <v>64123979</v>
      </c>
      <c r="B907" s="1011" t="s">
        <v>3877</v>
      </c>
      <c r="C907" s="1011" t="s">
        <v>3878</v>
      </c>
      <c r="D907" s="1011" t="s">
        <v>1127</v>
      </c>
      <c r="E907" s="1011" t="s">
        <v>1593</v>
      </c>
      <c r="F907" s="1011" t="s">
        <v>1383</v>
      </c>
    </row>
    <row r="908" spans="1:6" x14ac:dyDescent="0.25">
      <c r="A908" s="1011">
        <v>34123497</v>
      </c>
      <c r="B908" s="1011" t="s">
        <v>3879</v>
      </c>
      <c r="C908" s="1011" t="s">
        <v>3880</v>
      </c>
      <c r="D908" s="1011" t="s">
        <v>1127</v>
      </c>
      <c r="E908" s="1011" t="s">
        <v>1593</v>
      </c>
      <c r="F908" s="1011" t="s">
        <v>1383</v>
      </c>
    </row>
    <row r="909" spans="1:6" x14ac:dyDescent="0.25">
      <c r="A909" s="1011">
        <v>64163579</v>
      </c>
      <c r="B909" s="1011" t="s">
        <v>1680</v>
      </c>
      <c r="C909" s="1011" t="s">
        <v>1681</v>
      </c>
      <c r="D909" s="1011" t="s">
        <v>1125</v>
      </c>
      <c r="E909" s="1011" t="s">
        <v>1588</v>
      </c>
      <c r="F909" s="1011" t="s">
        <v>1682</v>
      </c>
    </row>
    <row r="910" spans="1:6" x14ac:dyDescent="0.25">
      <c r="A910" s="1011">
        <v>34124461</v>
      </c>
      <c r="B910" s="1011" t="s">
        <v>3881</v>
      </c>
      <c r="C910" s="1011" t="s">
        <v>3882</v>
      </c>
      <c r="D910" s="1011" t="s">
        <v>1127</v>
      </c>
      <c r="E910" s="1011" t="s">
        <v>1593</v>
      </c>
      <c r="F910" s="1011" t="s">
        <v>1383</v>
      </c>
    </row>
    <row r="911" spans="1:6" x14ac:dyDescent="0.25">
      <c r="A911" s="1011">
        <v>54125604</v>
      </c>
      <c r="B911" s="1011" t="s">
        <v>3883</v>
      </c>
      <c r="C911" s="1011" t="s">
        <v>3236</v>
      </c>
      <c r="D911" s="1011" t="s">
        <v>1125</v>
      </c>
      <c r="E911" s="1011" t="s">
        <v>1588</v>
      </c>
      <c r="F911" s="1011" t="s">
        <v>1421</v>
      </c>
    </row>
    <row r="912" spans="1:6" x14ac:dyDescent="0.25">
      <c r="A912" s="1011">
        <v>4123618</v>
      </c>
      <c r="B912" s="1011" t="s">
        <v>3884</v>
      </c>
      <c r="C912" s="1011" t="s">
        <v>3885</v>
      </c>
      <c r="D912" s="1011" t="s">
        <v>1127</v>
      </c>
      <c r="E912" s="1011" t="s">
        <v>1593</v>
      </c>
      <c r="F912" s="1011" t="s">
        <v>1383</v>
      </c>
    </row>
    <row r="913" spans="1:6" x14ac:dyDescent="0.25">
      <c r="A913" s="1011">
        <v>24125577</v>
      </c>
      <c r="B913" s="1011" t="s">
        <v>3886</v>
      </c>
      <c r="C913" s="1011" t="s">
        <v>3887</v>
      </c>
      <c r="D913" s="1011" t="s">
        <v>3340</v>
      </c>
      <c r="E913" s="1011" t="s">
        <v>1588</v>
      </c>
      <c r="F913" s="1011" t="s">
        <v>1437</v>
      </c>
    </row>
    <row r="914" spans="1:6" x14ac:dyDescent="0.25">
      <c r="A914" s="1011">
        <v>34125377</v>
      </c>
      <c r="B914" s="1011" t="s">
        <v>3888</v>
      </c>
      <c r="C914" s="1011" t="s">
        <v>3889</v>
      </c>
      <c r="D914" s="1011" t="s">
        <v>3890</v>
      </c>
      <c r="E914" s="1011" t="s">
        <v>1593</v>
      </c>
      <c r="F914" s="1011" t="s">
        <v>3891</v>
      </c>
    </row>
    <row r="915" spans="1:6" x14ac:dyDescent="0.25">
      <c r="A915" s="1011">
        <v>34125401</v>
      </c>
      <c r="B915" s="1011" t="s">
        <v>3892</v>
      </c>
      <c r="C915" s="1011" t="s">
        <v>3893</v>
      </c>
      <c r="D915" s="1011" t="s">
        <v>3894</v>
      </c>
      <c r="E915" s="1011" t="s">
        <v>1588</v>
      </c>
      <c r="F915" s="1011" t="s">
        <v>3895</v>
      </c>
    </row>
    <row r="916" spans="1:6" x14ac:dyDescent="0.25">
      <c r="A916" s="1011">
        <v>24125262</v>
      </c>
      <c r="B916" s="1011" t="s">
        <v>3896</v>
      </c>
      <c r="C916" s="1011" t="s">
        <v>3897</v>
      </c>
      <c r="D916" s="1011" t="s">
        <v>1125</v>
      </c>
      <c r="E916" s="1011" t="s">
        <v>1588</v>
      </c>
      <c r="F916" s="1011" t="s">
        <v>1770</v>
      </c>
    </row>
    <row r="917" spans="1:6" x14ac:dyDescent="0.25">
      <c r="A917" s="1011">
        <v>14125306</v>
      </c>
      <c r="B917" s="1011" t="s">
        <v>3898</v>
      </c>
      <c r="C917" s="1011" t="s">
        <v>3899</v>
      </c>
      <c r="D917" s="1011" t="s">
        <v>2639</v>
      </c>
      <c r="E917" s="1011" t="s">
        <v>1588</v>
      </c>
      <c r="F917" s="1011" t="s">
        <v>2640</v>
      </c>
    </row>
    <row r="918" spans="1:6" x14ac:dyDescent="0.25">
      <c r="A918" s="1011">
        <v>24123341</v>
      </c>
      <c r="B918" s="1011" t="s">
        <v>3900</v>
      </c>
      <c r="C918" s="1011" t="s">
        <v>3901</v>
      </c>
      <c r="D918" s="1011" t="s">
        <v>1675</v>
      </c>
      <c r="E918" s="1011" t="s">
        <v>1593</v>
      </c>
      <c r="F918" s="1011" t="s">
        <v>1676</v>
      </c>
    </row>
    <row r="919" spans="1:6" x14ac:dyDescent="0.25">
      <c r="A919" s="1011">
        <v>74125659</v>
      </c>
      <c r="B919" s="1011" t="s">
        <v>3902</v>
      </c>
      <c r="C919" s="1011" t="s">
        <v>3903</v>
      </c>
      <c r="D919" s="1011" t="s">
        <v>1587</v>
      </c>
      <c r="E919" s="1011" t="s">
        <v>1588</v>
      </c>
      <c r="F919" s="1011" t="s">
        <v>1589</v>
      </c>
    </row>
    <row r="920" spans="1:6" x14ac:dyDescent="0.25">
      <c r="A920" s="1011">
        <v>34223842</v>
      </c>
      <c r="B920" s="1011" t="s">
        <v>3904</v>
      </c>
      <c r="C920" s="1011" t="s">
        <v>3905</v>
      </c>
      <c r="D920" s="1011" t="s">
        <v>1672</v>
      </c>
      <c r="E920" s="1011" t="s">
        <v>1593</v>
      </c>
      <c r="F920" s="1011" t="s">
        <v>1407</v>
      </c>
    </row>
    <row r="921" spans="1:6" x14ac:dyDescent="0.25">
      <c r="A921" s="1011">
        <v>14123434</v>
      </c>
      <c r="B921" s="1011" t="s">
        <v>2921</v>
      </c>
      <c r="C921" s="1011" t="s">
        <v>3906</v>
      </c>
      <c r="D921" s="1011" t="s">
        <v>3907</v>
      </c>
      <c r="E921" s="1011" t="s">
        <v>1593</v>
      </c>
      <c r="F921" s="1011" t="s">
        <v>3908</v>
      </c>
    </row>
    <row r="922" spans="1:6" x14ac:dyDescent="0.25">
      <c r="A922" s="1011">
        <v>34147041</v>
      </c>
      <c r="B922" s="1011" t="s">
        <v>3909</v>
      </c>
      <c r="C922" s="1011" t="s">
        <v>3910</v>
      </c>
      <c r="D922" s="1011" t="s">
        <v>1125</v>
      </c>
      <c r="E922" s="1011" t="s">
        <v>1588</v>
      </c>
      <c r="F922" s="1011" t="s">
        <v>1619</v>
      </c>
    </row>
    <row r="923" spans="1:6" x14ac:dyDescent="0.25">
      <c r="A923" s="1011">
        <v>54125372</v>
      </c>
      <c r="B923" s="1011" t="s">
        <v>3911</v>
      </c>
      <c r="C923" s="1011" t="s">
        <v>3912</v>
      </c>
      <c r="D923" s="1011" t="s">
        <v>3517</v>
      </c>
      <c r="E923" s="1011" t="s">
        <v>1588</v>
      </c>
      <c r="F923" s="1011" t="s">
        <v>3518</v>
      </c>
    </row>
    <row r="924" spans="1:6" x14ac:dyDescent="0.25">
      <c r="A924" s="1011">
        <v>84125954</v>
      </c>
      <c r="B924" s="1011" t="s">
        <v>3913</v>
      </c>
      <c r="C924" s="1011" t="s">
        <v>3914</v>
      </c>
      <c r="D924" s="1011" t="s">
        <v>3915</v>
      </c>
      <c r="E924" s="1011" t="s">
        <v>1588</v>
      </c>
      <c r="F924" s="1011" t="s">
        <v>3916</v>
      </c>
    </row>
    <row r="925" spans="1:6" x14ac:dyDescent="0.25">
      <c r="A925" s="1011">
        <v>14123988</v>
      </c>
      <c r="B925" s="1011" t="s">
        <v>3917</v>
      </c>
      <c r="C925" s="1011" t="s">
        <v>3918</v>
      </c>
      <c r="D925" s="1011" t="s">
        <v>1127</v>
      </c>
      <c r="E925" s="1011" t="s">
        <v>1593</v>
      </c>
      <c r="F925" s="1011" t="s">
        <v>1383</v>
      </c>
    </row>
    <row r="926" spans="1:6" x14ac:dyDescent="0.25">
      <c r="A926" s="1011">
        <v>64157548</v>
      </c>
      <c r="B926" s="1011" t="s">
        <v>3919</v>
      </c>
      <c r="C926" s="1011" t="s">
        <v>3920</v>
      </c>
      <c r="D926" s="1011" t="s">
        <v>2287</v>
      </c>
      <c r="E926" s="1011" t="s">
        <v>1583</v>
      </c>
      <c r="F926" s="1011" t="s">
        <v>2288</v>
      </c>
    </row>
    <row r="927" spans="1:6" x14ac:dyDescent="0.25">
      <c r="A927" s="1011">
        <v>4125225</v>
      </c>
      <c r="B927" s="1011" t="s">
        <v>3921</v>
      </c>
      <c r="C927" s="1011" t="s">
        <v>3922</v>
      </c>
      <c r="D927" s="1011" t="s">
        <v>72</v>
      </c>
      <c r="E927" s="1011" t="s">
        <v>1612</v>
      </c>
      <c r="F927" s="1011" t="s">
        <v>2818</v>
      </c>
    </row>
    <row r="928" spans="1:6" x14ac:dyDescent="0.25">
      <c r="A928" s="1011">
        <v>34163824</v>
      </c>
      <c r="B928" s="1011" t="s">
        <v>3923</v>
      </c>
      <c r="C928" s="1011" t="s">
        <v>3924</v>
      </c>
      <c r="D928" s="1011" t="s">
        <v>72</v>
      </c>
      <c r="E928" s="1011" t="s">
        <v>1612</v>
      </c>
      <c r="F928" s="1011" t="s">
        <v>1739</v>
      </c>
    </row>
    <row r="929" spans="1:6" x14ac:dyDescent="0.25">
      <c r="A929" s="1011">
        <v>44124444</v>
      </c>
      <c r="B929" s="1011" t="s">
        <v>3925</v>
      </c>
      <c r="C929" s="1011" t="s">
        <v>3926</v>
      </c>
      <c r="D929" s="1011" t="s">
        <v>2974</v>
      </c>
      <c r="E929" s="1011" t="s">
        <v>1593</v>
      </c>
      <c r="F929" s="1011" t="s">
        <v>1389</v>
      </c>
    </row>
    <row r="930" spans="1:6" x14ac:dyDescent="0.25">
      <c r="A930" s="1011">
        <v>74125527</v>
      </c>
      <c r="B930" s="1011" t="s">
        <v>3066</v>
      </c>
      <c r="C930" s="1011" t="s">
        <v>3067</v>
      </c>
      <c r="D930" s="1011" t="s">
        <v>1668</v>
      </c>
      <c r="E930" s="1011" t="s">
        <v>1588</v>
      </c>
      <c r="F930" s="1011" t="s">
        <v>1783</v>
      </c>
    </row>
    <row r="931" spans="1:6" x14ac:dyDescent="0.25">
      <c r="A931" s="1011">
        <v>84123538</v>
      </c>
      <c r="B931" s="1011" t="s">
        <v>3927</v>
      </c>
      <c r="C931" s="1011" t="s">
        <v>3928</v>
      </c>
      <c r="D931" s="1011" t="s">
        <v>1127</v>
      </c>
      <c r="E931" s="1011" t="s">
        <v>1593</v>
      </c>
      <c r="F931" s="1011" t="s">
        <v>1383</v>
      </c>
    </row>
    <row r="932" spans="1:6" x14ac:dyDescent="0.25">
      <c r="A932" s="1011">
        <v>84125095</v>
      </c>
      <c r="B932" s="1011" t="s">
        <v>3929</v>
      </c>
      <c r="C932" s="1011" t="s">
        <v>3930</v>
      </c>
      <c r="D932" s="1011" t="s">
        <v>1892</v>
      </c>
      <c r="E932" s="1011" t="s">
        <v>1583</v>
      </c>
      <c r="F932" s="1011" t="s">
        <v>1371</v>
      </c>
    </row>
    <row r="933" spans="1:6" x14ac:dyDescent="0.25">
      <c r="A933" s="1011">
        <v>54144456</v>
      </c>
      <c r="B933" s="1011" t="s">
        <v>3931</v>
      </c>
      <c r="C933" s="1011" t="s">
        <v>3932</v>
      </c>
      <c r="D933" s="1011" t="s">
        <v>47</v>
      </c>
      <c r="E933" s="1011" t="s">
        <v>1593</v>
      </c>
      <c r="F933" s="1011" t="s">
        <v>3058</v>
      </c>
    </row>
    <row r="934" spans="1:6" x14ac:dyDescent="0.25">
      <c r="A934" s="1011">
        <v>84125780</v>
      </c>
      <c r="B934" s="1011" t="s">
        <v>3933</v>
      </c>
      <c r="C934" s="1011" t="s">
        <v>3934</v>
      </c>
      <c r="D934" s="1011" t="s">
        <v>2153</v>
      </c>
      <c r="E934" s="1011" t="s">
        <v>1588</v>
      </c>
      <c r="F934" s="1011" t="s">
        <v>1399</v>
      </c>
    </row>
    <row r="935" spans="1:6" x14ac:dyDescent="0.25">
      <c r="A935" s="1011">
        <v>74124207</v>
      </c>
      <c r="B935" s="1011" t="s">
        <v>3935</v>
      </c>
      <c r="C935" s="1011" t="s">
        <v>3936</v>
      </c>
      <c r="D935" s="1011" t="s">
        <v>1127</v>
      </c>
      <c r="E935" s="1011" t="s">
        <v>1593</v>
      </c>
      <c r="F935" s="1011" t="s">
        <v>1375</v>
      </c>
    </row>
    <row r="936" spans="1:6" x14ac:dyDescent="0.25">
      <c r="A936" s="1011">
        <v>94123460</v>
      </c>
      <c r="B936" s="1011" t="s">
        <v>3937</v>
      </c>
      <c r="C936" s="1011" t="s">
        <v>3938</v>
      </c>
      <c r="D936" s="1011" t="s">
        <v>1127</v>
      </c>
      <c r="E936" s="1011" t="s">
        <v>1593</v>
      </c>
      <c r="F936" s="1011" t="s">
        <v>1383</v>
      </c>
    </row>
    <row r="937" spans="1:6" x14ac:dyDescent="0.25">
      <c r="A937" s="1011">
        <v>24125783</v>
      </c>
      <c r="B937" s="1011" t="s">
        <v>3939</v>
      </c>
      <c r="C937" s="1011" t="s">
        <v>3940</v>
      </c>
      <c r="D937" s="1011" t="s">
        <v>2838</v>
      </c>
      <c r="E937" s="1011" t="s">
        <v>1612</v>
      </c>
      <c r="F937" s="1011" t="s">
        <v>2839</v>
      </c>
    </row>
    <row r="938" spans="1:6" x14ac:dyDescent="0.25">
      <c r="A938" s="1011">
        <v>84124569</v>
      </c>
      <c r="B938" s="1011" t="s">
        <v>3941</v>
      </c>
      <c r="C938" s="1011" t="s">
        <v>3942</v>
      </c>
      <c r="D938" s="1011" t="s">
        <v>1127</v>
      </c>
      <c r="E938" s="1011" t="s">
        <v>1593</v>
      </c>
      <c r="F938" s="1011" t="s">
        <v>1383</v>
      </c>
    </row>
    <row r="939" spans="1:6" x14ac:dyDescent="0.25">
      <c r="A939" s="1011">
        <v>14124523</v>
      </c>
      <c r="B939" s="1011" t="s">
        <v>3943</v>
      </c>
      <c r="C939" s="1011" t="s">
        <v>3944</v>
      </c>
      <c r="D939" s="1011" t="s">
        <v>1983</v>
      </c>
      <c r="E939" s="1011" t="s">
        <v>1583</v>
      </c>
      <c r="F939" s="1011" t="s">
        <v>1984</v>
      </c>
    </row>
    <row r="940" spans="1:6" x14ac:dyDescent="0.25">
      <c r="A940" s="1011">
        <v>14125272</v>
      </c>
      <c r="B940" s="1011" t="s">
        <v>3945</v>
      </c>
      <c r="C940" s="1011" t="s">
        <v>3946</v>
      </c>
      <c r="D940" s="1011" t="s">
        <v>2313</v>
      </c>
      <c r="E940" s="1011" t="s">
        <v>1588</v>
      </c>
      <c r="F940" s="1011" t="s">
        <v>1347</v>
      </c>
    </row>
    <row r="941" spans="1:6" x14ac:dyDescent="0.25">
      <c r="A941" s="1011">
        <v>4125605</v>
      </c>
      <c r="B941" s="1011" t="s">
        <v>3947</v>
      </c>
      <c r="C941" s="1011" t="s">
        <v>3948</v>
      </c>
      <c r="D941" s="1011" t="s">
        <v>2313</v>
      </c>
      <c r="E941" s="1011" t="s">
        <v>1588</v>
      </c>
      <c r="F941" s="1011" t="s">
        <v>1347</v>
      </c>
    </row>
    <row r="942" spans="1:6" x14ac:dyDescent="0.25">
      <c r="A942" s="1011">
        <v>14125728</v>
      </c>
      <c r="B942" s="1011" t="s">
        <v>3949</v>
      </c>
      <c r="C942" s="1011" t="s">
        <v>1850</v>
      </c>
      <c r="D942" s="1011" t="s">
        <v>1735</v>
      </c>
      <c r="E942" s="1011" t="s">
        <v>1588</v>
      </c>
      <c r="F942" s="1011" t="s">
        <v>1736</v>
      </c>
    </row>
    <row r="943" spans="1:6" x14ac:dyDescent="0.25">
      <c r="A943" s="1011">
        <v>44126092</v>
      </c>
      <c r="B943" s="1011" t="s">
        <v>3950</v>
      </c>
      <c r="C943" s="1011" t="s">
        <v>3951</v>
      </c>
      <c r="D943" s="1011" t="s">
        <v>2742</v>
      </c>
      <c r="E943" s="1011" t="s">
        <v>1588</v>
      </c>
      <c r="F943" s="1011" t="s">
        <v>2743</v>
      </c>
    </row>
    <row r="944" spans="1:6" x14ac:dyDescent="0.25">
      <c r="A944" s="1011">
        <v>24147639</v>
      </c>
      <c r="B944" s="1011" t="s">
        <v>3952</v>
      </c>
      <c r="C944" s="1011" t="s">
        <v>3953</v>
      </c>
      <c r="D944" s="1011" t="s">
        <v>1892</v>
      </c>
      <c r="E944" s="1011" t="s">
        <v>1583</v>
      </c>
      <c r="F944" s="1011" t="s">
        <v>1371</v>
      </c>
    </row>
    <row r="945" spans="1:6" x14ac:dyDescent="0.25">
      <c r="A945" s="1011">
        <v>44128213</v>
      </c>
      <c r="B945" s="1011" t="s">
        <v>3954</v>
      </c>
      <c r="C945" s="1011" t="s">
        <v>3955</v>
      </c>
      <c r="D945" s="1011" t="s">
        <v>1735</v>
      </c>
      <c r="E945" s="1011" t="s">
        <v>1588</v>
      </c>
      <c r="F945" s="1011" t="s">
        <v>1736</v>
      </c>
    </row>
    <row r="946" spans="1:6" x14ac:dyDescent="0.25">
      <c r="A946" s="1011">
        <v>64125420</v>
      </c>
      <c r="B946" s="1011" t="s">
        <v>3956</v>
      </c>
      <c r="C946" s="1011" t="s">
        <v>3957</v>
      </c>
      <c r="D946" s="1011" t="s">
        <v>1742</v>
      </c>
      <c r="E946" s="1011" t="s">
        <v>1593</v>
      </c>
      <c r="F946" s="1011" t="s">
        <v>1743</v>
      </c>
    </row>
    <row r="947" spans="1:6" x14ac:dyDescent="0.25">
      <c r="A947" s="1011">
        <v>4124582</v>
      </c>
      <c r="B947" s="1011" t="s">
        <v>3958</v>
      </c>
      <c r="C947" s="1011" t="s">
        <v>3959</v>
      </c>
      <c r="D947" s="1011" t="s">
        <v>1127</v>
      </c>
      <c r="E947" s="1011" t="s">
        <v>1593</v>
      </c>
      <c r="F947" s="1011" t="s">
        <v>1375</v>
      </c>
    </row>
    <row r="948" spans="1:6" x14ac:dyDescent="0.25">
      <c r="A948" s="1011">
        <v>24163115</v>
      </c>
      <c r="B948" s="1011" t="s">
        <v>3960</v>
      </c>
      <c r="C948" s="1011" t="s">
        <v>3961</v>
      </c>
      <c r="D948" s="1011" t="s">
        <v>2097</v>
      </c>
      <c r="E948" s="1011" t="s">
        <v>1588</v>
      </c>
      <c r="F948" s="1011" t="s">
        <v>2098</v>
      </c>
    </row>
    <row r="949" spans="1:6" x14ac:dyDescent="0.25">
      <c r="A949" s="1011">
        <v>64125768</v>
      </c>
      <c r="B949" s="1011" t="s">
        <v>3962</v>
      </c>
      <c r="C949" s="1011" t="s">
        <v>3963</v>
      </c>
      <c r="D949" s="1011" t="s">
        <v>1847</v>
      </c>
      <c r="E949" s="1011" t="s">
        <v>1588</v>
      </c>
      <c r="F949" s="1011" t="s">
        <v>1848</v>
      </c>
    </row>
    <row r="950" spans="1:6" x14ac:dyDescent="0.25">
      <c r="A950" s="1011">
        <v>94124583</v>
      </c>
      <c r="B950" s="1011" t="s">
        <v>3964</v>
      </c>
      <c r="C950" s="1011" t="s">
        <v>3965</v>
      </c>
      <c r="D950" s="1011" t="s">
        <v>1685</v>
      </c>
      <c r="E950" s="1011" t="s">
        <v>1593</v>
      </c>
      <c r="F950" s="1011" t="s">
        <v>1469</v>
      </c>
    </row>
    <row r="951" spans="1:6" x14ac:dyDescent="0.25">
      <c r="A951" s="1011">
        <v>94125788</v>
      </c>
      <c r="B951" s="1011" t="s">
        <v>3966</v>
      </c>
      <c r="C951" s="1011" t="s">
        <v>3967</v>
      </c>
      <c r="D951" s="1011" t="s">
        <v>72</v>
      </c>
      <c r="E951" s="1011" t="s">
        <v>1612</v>
      </c>
      <c r="F951" s="1011" t="s">
        <v>3601</v>
      </c>
    </row>
    <row r="952" spans="1:6" x14ac:dyDescent="0.25">
      <c r="A952" s="1011">
        <v>94124294</v>
      </c>
      <c r="B952" s="1011" t="s">
        <v>3968</v>
      </c>
      <c r="C952" s="1011" t="s">
        <v>3969</v>
      </c>
      <c r="D952" s="1011" t="s">
        <v>2238</v>
      </c>
      <c r="E952" s="1011" t="s">
        <v>1593</v>
      </c>
      <c r="F952" s="1011" t="s">
        <v>2239</v>
      </c>
    </row>
    <row r="953" spans="1:6" x14ac:dyDescent="0.25">
      <c r="A953" s="1011">
        <v>14125652</v>
      </c>
      <c r="B953" s="1011" t="s">
        <v>3970</v>
      </c>
      <c r="C953" s="1011" t="s">
        <v>3971</v>
      </c>
      <c r="D953" s="1011" t="s">
        <v>3697</v>
      </c>
      <c r="E953" s="1011" t="s">
        <v>1588</v>
      </c>
      <c r="F953" s="1011" t="s">
        <v>3698</v>
      </c>
    </row>
    <row r="954" spans="1:6" x14ac:dyDescent="0.25">
      <c r="A954" s="1011">
        <v>24125452</v>
      </c>
      <c r="B954" s="1011" t="s">
        <v>3972</v>
      </c>
      <c r="C954" s="1011" t="s">
        <v>3973</v>
      </c>
      <c r="D954" s="1011" t="s">
        <v>3974</v>
      </c>
      <c r="E954" s="1011" t="s">
        <v>1612</v>
      </c>
      <c r="F954" s="1011" t="s">
        <v>3975</v>
      </c>
    </row>
    <row r="955" spans="1:6" x14ac:dyDescent="0.25">
      <c r="A955" s="1011">
        <v>84123652</v>
      </c>
      <c r="B955" s="1011" t="s">
        <v>3976</v>
      </c>
      <c r="C955" s="1011" t="s">
        <v>3977</v>
      </c>
      <c r="D955" s="1011" t="s">
        <v>1127</v>
      </c>
      <c r="E955" s="1011" t="s">
        <v>1593</v>
      </c>
      <c r="F955" s="1011" t="s">
        <v>1445</v>
      </c>
    </row>
    <row r="956" spans="1:6" x14ac:dyDescent="0.25">
      <c r="A956" s="1011">
        <v>84163146</v>
      </c>
      <c r="B956" s="1011" t="s">
        <v>3978</v>
      </c>
      <c r="C956" s="1011" t="s">
        <v>3979</v>
      </c>
      <c r="D956" s="1011" t="s">
        <v>3249</v>
      </c>
      <c r="E956" s="1011" t="s">
        <v>1593</v>
      </c>
      <c r="F956" s="1011" t="s">
        <v>2408</v>
      </c>
    </row>
    <row r="957" spans="1:6" x14ac:dyDescent="0.25">
      <c r="A957" s="1011">
        <v>64124480</v>
      </c>
      <c r="B957" s="1011" t="s">
        <v>3980</v>
      </c>
      <c r="C957" s="1011" t="s">
        <v>3981</v>
      </c>
      <c r="D957" s="1011" t="s">
        <v>1599</v>
      </c>
      <c r="E957" s="1011" t="s">
        <v>1593</v>
      </c>
      <c r="F957" s="1011" t="s">
        <v>1377</v>
      </c>
    </row>
    <row r="958" spans="1:6" x14ac:dyDescent="0.25">
      <c r="A958" s="1011">
        <v>4124160</v>
      </c>
      <c r="B958" s="1011" t="s">
        <v>3982</v>
      </c>
      <c r="C958" s="1011" t="s">
        <v>2856</v>
      </c>
      <c r="D958" s="1011" t="s">
        <v>2539</v>
      </c>
      <c r="E958" s="1011" t="s">
        <v>1593</v>
      </c>
      <c r="F958" s="1011" t="s">
        <v>2540</v>
      </c>
    </row>
    <row r="959" spans="1:6" x14ac:dyDescent="0.25">
      <c r="A959" s="1011">
        <v>84235159</v>
      </c>
      <c r="B959" s="1011" t="s">
        <v>3983</v>
      </c>
      <c r="C959" s="1011" t="s">
        <v>3984</v>
      </c>
      <c r="D959" s="1011" t="s">
        <v>2011</v>
      </c>
      <c r="E959" s="1011" t="s">
        <v>1588</v>
      </c>
      <c r="F959" s="1011" t="s">
        <v>2012</v>
      </c>
    </row>
    <row r="960" spans="1:6" x14ac:dyDescent="0.25">
      <c r="A960" s="1011">
        <v>84125939</v>
      </c>
      <c r="B960" s="1011" t="s">
        <v>3985</v>
      </c>
      <c r="C960" s="1011" t="s">
        <v>3986</v>
      </c>
      <c r="D960" s="1011" t="s">
        <v>3987</v>
      </c>
      <c r="E960" s="1011" t="s">
        <v>1612</v>
      </c>
      <c r="F960" s="1011" t="s">
        <v>3988</v>
      </c>
    </row>
    <row r="961" spans="1:6" x14ac:dyDescent="0.25">
      <c r="A961" s="1011">
        <v>14125371</v>
      </c>
      <c r="B961" s="1011" t="s">
        <v>3989</v>
      </c>
      <c r="C961" s="1011" t="s">
        <v>3990</v>
      </c>
      <c r="D961" s="1011" t="s">
        <v>2649</v>
      </c>
      <c r="E961" s="1011" t="s">
        <v>1593</v>
      </c>
      <c r="F961" s="1011" t="s">
        <v>2650</v>
      </c>
    </row>
    <row r="962" spans="1:6" x14ac:dyDescent="0.25">
      <c r="A962" s="1011">
        <v>14123921</v>
      </c>
      <c r="B962" s="1011" t="s">
        <v>3991</v>
      </c>
      <c r="C962" s="1011" t="s">
        <v>3992</v>
      </c>
      <c r="D962" s="1011" t="s">
        <v>3993</v>
      </c>
      <c r="E962" s="1011" t="s">
        <v>1593</v>
      </c>
      <c r="F962" s="1011" t="s">
        <v>3994</v>
      </c>
    </row>
    <row r="963" spans="1:6" x14ac:dyDescent="0.25">
      <c r="A963" s="1011">
        <v>4124715</v>
      </c>
      <c r="B963" s="1011" t="s">
        <v>3995</v>
      </c>
      <c r="C963" s="1011" t="s">
        <v>3996</v>
      </c>
      <c r="D963" s="1011" t="s">
        <v>2390</v>
      </c>
      <c r="E963" s="1011" t="s">
        <v>1583</v>
      </c>
      <c r="F963" s="1011" t="s">
        <v>2391</v>
      </c>
    </row>
    <row r="964" spans="1:6" x14ac:dyDescent="0.25">
      <c r="A964" s="1011">
        <v>54126057</v>
      </c>
      <c r="B964" s="1011" t="s">
        <v>3997</v>
      </c>
      <c r="C964" s="1011" t="s">
        <v>3998</v>
      </c>
      <c r="D964" s="1011" t="s">
        <v>3569</v>
      </c>
      <c r="E964" s="1011" t="s">
        <v>1588</v>
      </c>
      <c r="F964" s="1011" t="s">
        <v>3570</v>
      </c>
    </row>
    <row r="965" spans="1:6" x14ac:dyDescent="0.25">
      <c r="A965" s="1011">
        <v>84163575</v>
      </c>
      <c r="B965" s="1011" t="s">
        <v>3999</v>
      </c>
      <c r="C965" s="1011" t="s">
        <v>4000</v>
      </c>
      <c r="D965" s="1011" t="s">
        <v>1125</v>
      </c>
      <c r="E965" s="1011" t="s">
        <v>1588</v>
      </c>
      <c r="F965" s="1011" t="s">
        <v>1361</v>
      </c>
    </row>
    <row r="966" spans="1:6" x14ac:dyDescent="0.25">
      <c r="A966" s="1011">
        <v>14124861</v>
      </c>
      <c r="B966" s="1011" t="s">
        <v>4001</v>
      </c>
      <c r="C966" s="1011" t="s">
        <v>4002</v>
      </c>
      <c r="D966" s="1011" t="s">
        <v>4003</v>
      </c>
      <c r="E966" s="1011" t="s">
        <v>1583</v>
      </c>
      <c r="F966" s="1011" t="s">
        <v>4004</v>
      </c>
    </row>
    <row r="967" spans="1:6" x14ac:dyDescent="0.25">
      <c r="A967" s="1011">
        <v>64123581</v>
      </c>
      <c r="B967" s="1011" t="s">
        <v>4005</v>
      </c>
      <c r="C967" s="1011" t="s">
        <v>4006</v>
      </c>
      <c r="D967" s="1011" t="s">
        <v>1127</v>
      </c>
      <c r="E967" s="1011" t="s">
        <v>1593</v>
      </c>
      <c r="F967" s="1011" t="s">
        <v>1383</v>
      </c>
    </row>
    <row r="968" spans="1:6" x14ac:dyDescent="0.25">
      <c r="A968" s="1011">
        <v>94125515</v>
      </c>
      <c r="B968" s="1011" t="s">
        <v>4007</v>
      </c>
      <c r="C968" s="1011" t="s">
        <v>4008</v>
      </c>
      <c r="D968" s="1011" t="s">
        <v>72</v>
      </c>
      <c r="E968" s="1011" t="s">
        <v>1612</v>
      </c>
      <c r="F968" s="1011" t="s">
        <v>3317</v>
      </c>
    </row>
    <row r="969" spans="1:6" x14ac:dyDescent="0.25">
      <c r="A969" s="1011">
        <v>24158446</v>
      </c>
      <c r="B969" s="1011" t="s">
        <v>4009</v>
      </c>
      <c r="C969" s="1011" t="s">
        <v>4010</v>
      </c>
      <c r="D969" s="1011" t="s">
        <v>72</v>
      </c>
      <c r="E969" s="1011" t="s">
        <v>1612</v>
      </c>
      <c r="F969" s="1011" t="s">
        <v>1997</v>
      </c>
    </row>
    <row r="970" spans="1:6" x14ac:dyDescent="0.25">
      <c r="A970" s="1011">
        <v>54123658</v>
      </c>
      <c r="B970" s="1011" t="s">
        <v>4011</v>
      </c>
      <c r="C970" s="1011" t="s">
        <v>4012</v>
      </c>
      <c r="D970" s="1011" t="s">
        <v>1685</v>
      </c>
      <c r="E970" s="1011" t="s">
        <v>1593</v>
      </c>
      <c r="F970" s="1011" t="s">
        <v>1469</v>
      </c>
    </row>
    <row r="971" spans="1:6" x14ac:dyDescent="0.25">
      <c r="A971" s="1011">
        <v>94124278</v>
      </c>
      <c r="B971" s="1011" t="s">
        <v>4013</v>
      </c>
      <c r="C971" s="1011" t="s">
        <v>4014</v>
      </c>
      <c r="D971" s="1011" t="s">
        <v>1767</v>
      </c>
      <c r="E971" s="1011" t="s">
        <v>1593</v>
      </c>
      <c r="F971" s="1011" t="s">
        <v>1419</v>
      </c>
    </row>
    <row r="972" spans="1:6" x14ac:dyDescent="0.25">
      <c r="A972" s="1011">
        <v>64125529</v>
      </c>
      <c r="B972" s="1011" t="s">
        <v>4015</v>
      </c>
      <c r="C972" s="1011" t="s">
        <v>4016</v>
      </c>
      <c r="D972" s="1011" t="s">
        <v>1732</v>
      </c>
      <c r="E972" s="1011" t="s">
        <v>1588</v>
      </c>
      <c r="F972" s="1011" t="s">
        <v>1369</v>
      </c>
    </row>
    <row r="973" spans="1:6" x14ac:dyDescent="0.25">
      <c r="A973" s="1011">
        <v>14124838</v>
      </c>
      <c r="B973" s="1011" t="s">
        <v>4017</v>
      </c>
      <c r="C973" s="1011" t="s">
        <v>4018</v>
      </c>
      <c r="D973" s="1011" t="s">
        <v>4019</v>
      </c>
      <c r="E973" s="1011" t="s">
        <v>1583</v>
      </c>
      <c r="F973" s="1011" t="s">
        <v>4020</v>
      </c>
    </row>
    <row r="974" spans="1:6" x14ac:dyDescent="0.25">
      <c r="A974" s="1011">
        <v>34125997</v>
      </c>
      <c r="B974" s="1011" t="s">
        <v>4021</v>
      </c>
      <c r="C974" s="1011" t="s">
        <v>4022</v>
      </c>
      <c r="D974" s="1011" t="s">
        <v>2865</v>
      </c>
      <c r="E974" s="1011" t="s">
        <v>1588</v>
      </c>
      <c r="F974" s="1011" t="s">
        <v>2866</v>
      </c>
    </row>
    <row r="975" spans="1:6" x14ac:dyDescent="0.25">
      <c r="A975" s="1011">
        <v>54125521</v>
      </c>
      <c r="B975" s="1011" t="s">
        <v>4023</v>
      </c>
      <c r="C975" s="1011" t="s">
        <v>4024</v>
      </c>
      <c r="D975" s="1011" t="s">
        <v>72</v>
      </c>
      <c r="E975" s="1011" t="s">
        <v>1612</v>
      </c>
      <c r="F975" s="1011" t="s">
        <v>1714</v>
      </c>
    </row>
    <row r="976" spans="1:6" x14ac:dyDescent="0.25">
      <c r="A976" s="1011">
        <v>94146271</v>
      </c>
      <c r="B976" s="1011" t="s">
        <v>4025</v>
      </c>
      <c r="C976" s="1011" t="s">
        <v>4026</v>
      </c>
      <c r="D976" s="1011" t="s">
        <v>2153</v>
      </c>
      <c r="E976" s="1011" t="s">
        <v>1588</v>
      </c>
      <c r="F976" s="1011" t="s">
        <v>1399</v>
      </c>
    </row>
    <row r="977" spans="1:6" x14ac:dyDescent="0.25">
      <c r="A977" s="1011">
        <v>14126189</v>
      </c>
      <c r="B977" s="1011" t="s">
        <v>4027</v>
      </c>
      <c r="C977" s="1011" t="s">
        <v>4028</v>
      </c>
      <c r="D977" s="1011" t="s">
        <v>2153</v>
      </c>
      <c r="E977" s="1011" t="s">
        <v>1588</v>
      </c>
      <c r="F977" s="1011" t="s">
        <v>1399</v>
      </c>
    </row>
    <row r="978" spans="1:6" x14ac:dyDescent="0.25">
      <c r="A978" s="1011">
        <v>34123364</v>
      </c>
      <c r="B978" s="1011" t="s">
        <v>4029</v>
      </c>
      <c r="C978" s="1011" t="s">
        <v>4030</v>
      </c>
      <c r="D978" s="1011" t="s">
        <v>1756</v>
      </c>
      <c r="E978" s="1011" t="s">
        <v>1593</v>
      </c>
      <c r="F978" s="1011" t="s">
        <v>1429</v>
      </c>
    </row>
    <row r="979" spans="1:6" x14ac:dyDescent="0.25">
      <c r="A979" s="1011">
        <v>24123952</v>
      </c>
      <c r="B979" s="1011" t="s">
        <v>4031</v>
      </c>
      <c r="C979" s="1011" t="s">
        <v>4032</v>
      </c>
      <c r="D979" s="1011" t="s">
        <v>4033</v>
      </c>
      <c r="E979" s="1011" t="s">
        <v>1593</v>
      </c>
      <c r="F979" s="1011" t="s">
        <v>4034</v>
      </c>
    </row>
    <row r="980" spans="1:6" x14ac:dyDescent="0.25">
      <c r="A980" s="1011">
        <v>74125717</v>
      </c>
      <c r="B980" s="1011" t="s">
        <v>4035</v>
      </c>
      <c r="C980" s="1011" t="s">
        <v>4036</v>
      </c>
      <c r="D980" s="1011" t="s">
        <v>3369</v>
      </c>
      <c r="E980" s="1011" t="s">
        <v>1588</v>
      </c>
      <c r="F980" s="1011" t="s">
        <v>3370</v>
      </c>
    </row>
    <row r="981" spans="1:6" x14ac:dyDescent="0.25">
      <c r="A981" s="1011">
        <v>74124264</v>
      </c>
      <c r="B981" s="1011" t="s">
        <v>4037</v>
      </c>
      <c r="C981" s="1011" t="s">
        <v>4038</v>
      </c>
      <c r="D981" s="1011" t="s">
        <v>4039</v>
      </c>
      <c r="E981" s="1011" t="s">
        <v>1593</v>
      </c>
      <c r="F981" s="1011" t="s">
        <v>3829</v>
      </c>
    </row>
    <row r="982" spans="1:6" x14ac:dyDescent="0.25">
      <c r="A982" s="1011">
        <v>14125314</v>
      </c>
      <c r="B982" s="1011" t="s">
        <v>4040</v>
      </c>
      <c r="C982" s="1011" t="s">
        <v>4041</v>
      </c>
      <c r="D982" s="1011" t="s">
        <v>4042</v>
      </c>
      <c r="E982" s="1011" t="s">
        <v>1612</v>
      </c>
      <c r="F982" s="1011" t="s">
        <v>4043</v>
      </c>
    </row>
    <row r="983" spans="1:6" x14ac:dyDescent="0.25">
      <c r="A983" s="1011">
        <v>4124558</v>
      </c>
      <c r="B983" s="1011" t="s">
        <v>4044</v>
      </c>
      <c r="C983" s="1011" t="s">
        <v>4045</v>
      </c>
      <c r="D983" s="1011" t="s">
        <v>3245</v>
      </c>
      <c r="E983" s="1011" t="s">
        <v>1593</v>
      </c>
      <c r="F983" s="1011" t="s">
        <v>3246</v>
      </c>
    </row>
    <row r="984" spans="1:6" x14ac:dyDescent="0.25">
      <c r="A984" s="1011">
        <v>84125590</v>
      </c>
      <c r="B984" s="1011" t="s">
        <v>4046</v>
      </c>
      <c r="C984" s="1011" t="s">
        <v>4047</v>
      </c>
      <c r="D984" s="1011" t="s">
        <v>4048</v>
      </c>
      <c r="E984" s="1011" t="s">
        <v>1593</v>
      </c>
      <c r="F984" s="1011" t="s">
        <v>4049</v>
      </c>
    </row>
    <row r="985" spans="1:6" x14ac:dyDescent="0.25">
      <c r="A985" s="1011">
        <v>64124886</v>
      </c>
      <c r="B985" s="1011" t="s">
        <v>4050</v>
      </c>
      <c r="C985" s="1011" t="s">
        <v>4051</v>
      </c>
      <c r="D985" s="1011" t="s">
        <v>1602</v>
      </c>
      <c r="E985" s="1011" t="s">
        <v>1583</v>
      </c>
      <c r="F985" s="1011" t="s">
        <v>1457</v>
      </c>
    </row>
    <row r="986" spans="1:6" x14ac:dyDescent="0.25">
      <c r="A986" s="1011">
        <v>24124935</v>
      </c>
      <c r="B986" s="1011" t="s">
        <v>4052</v>
      </c>
      <c r="C986" s="1011" t="s">
        <v>4053</v>
      </c>
      <c r="D986" s="1011" t="s">
        <v>4054</v>
      </c>
      <c r="E986" s="1011" t="s">
        <v>1583</v>
      </c>
      <c r="F986" s="1011" t="s">
        <v>4055</v>
      </c>
    </row>
    <row r="987" spans="1:6" x14ac:dyDescent="0.25">
      <c r="A987" s="1011">
        <v>14173165</v>
      </c>
      <c r="B987" s="1011" t="s">
        <v>4056</v>
      </c>
      <c r="C987" s="1011" t="s">
        <v>4057</v>
      </c>
      <c r="D987" s="1011" t="s">
        <v>1728</v>
      </c>
      <c r="E987" s="1011" t="s">
        <v>1593</v>
      </c>
      <c r="F987" s="1011" t="s">
        <v>1729</v>
      </c>
    </row>
    <row r="988" spans="1:6" x14ac:dyDescent="0.25">
      <c r="A988" s="1011">
        <v>64124365</v>
      </c>
      <c r="B988" s="1011" t="s">
        <v>4058</v>
      </c>
      <c r="C988" s="1011" t="s">
        <v>4059</v>
      </c>
      <c r="D988" s="1011" t="s">
        <v>1685</v>
      </c>
      <c r="E988" s="1011" t="s">
        <v>1593</v>
      </c>
      <c r="F988" s="1011" t="s">
        <v>1469</v>
      </c>
    </row>
    <row r="989" spans="1:6" x14ac:dyDescent="0.25">
      <c r="A989" s="1011">
        <v>14124457</v>
      </c>
      <c r="B989" s="1011" t="s">
        <v>4060</v>
      </c>
      <c r="C989" s="1011" t="s">
        <v>4061</v>
      </c>
      <c r="D989" s="1011" t="s">
        <v>1694</v>
      </c>
      <c r="E989" s="1011" t="s">
        <v>1593</v>
      </c>
      <c r="F989" s="1011" t="s">
        <v>1695</v>
      </c>
    </row>
    <row r="990" spans="1:6" x14ac:dyDescent="0.25">
      <c r="A990" s="1011">
        <v>74125824</v>
      </c>
      <c r="B990" s="1011" t="s">
        <v>4062</v>
      </c>
      <c r="C990" s="1011" t="s">
        <v>4063</v>
      </c>
      <c r="D990" s="1011" t="s">
        <v>3081</v>
      </c>
      <c r="E990" s="1011" t="s">
        <v>1612</v>
      </c>
      <c r="F990" s="1011" t="s">
        <v>3082</v>
      </c>
    </row>
    <row r="991" spans="1:6" x14ac:dyDescent="0.25">
      <c r="A991" s="1011">
        <v>74124272</v>
      </c>
      <c r="B991" s="1011" t="s">
        <v>4064</v>
      </c>
      <c r="C991" s="1011" t="s">
        <v>4065</v>
      </c>
      <c r="D991" s="1011" t="s">
        <v>1127</v>
      </c>
      <c r="E991" s="1011" t="s">
        <v>1593</v>
      </c>
      <c r="F991" s="1011" t="s">
        <v>1383</v>
      </c>
    </row>
    <row r="992" spans="1:6" x14ac:dyDescent="0.25">
      <c r="A992" s="1011">
        <v>94125093</v>
      </c>
      <c r="B992" s="1011" t="s">
        <v>4066</v>
      </c>
      <c r="C992" s="1011" t="s">
        <v>4067</v>
      </c>
      <c r="D992" s="1011" t="s">
        <v>2287</v>
      </c>
      <c r="E992" s="1011" t="s">
        <v>1583</v>
      </c>
      <c r="F992" s="1011" t="s">
        <v>2288</v>
      </c>
    </row>
    <row r="993" spans="1:6" x14ac:dyDescent="0.25">
      <c r="A993" s="1011">
        <v>4124194</v>
      </c>
      <c r="B993" s="1011" t="s">
        <v>4068</v>
      </c>
      <c r="C993" s="1011" t="s">
        <v>4069</v>
      </c>
      <c r="D993" s="1011" t="s">
        <v>4019</v>
      </c>
      <c r="E993" s="1011" t="s">
        <v>1583</v>
      </c>
      <c r="F993" s="1011" t="s">
        <v>4020</v>
      </c>
    </row>
    <row r="994" spans="1:6" x14ac:dyDescent="0.25">
      <c r="A994" s="1011">
        <v>44125409</v>
      </c>
      <c r="B994" s="1011" t="s">
        <v>4070</v>
      </c>
      <c r="C994" s="1011" t="s">
        <v>4071</v>
      </c>
      <c r="D994" s="1011" t="s">
        <v>4072</v>
      </c>
      <c r="E994" s="1011" t="s">
        <v>1588</v>
      </c>
      <c r="F994" s="1011" t="s">
        <v>4073</v>
      </c>
    </row>
    <row r="995" spans="1:6" x14ac:dyDescent="0.25">
      <c r="A995" s="1011">
        <v>44222420</v>
      </c>
      <c r="B995" s="1011" t="s">
        <v>4074</v>
      </c>
      <c r="C995" s="1011" t="s">
        <v>4075</v>
      </c>
      <c r="D995" s="1011" t="s">
        <v>1752</v>
      </c>
      <c r="E995" s="1011" t="s">
        <v>1588</v>
      </c>
      <c r="F995" s="1011" t="s">
        <v>1753</v>
      </c>
    </row>
    <row r="996" spans="1:6" x14ac:dyDescent="0.25">
      <c r="A996" s="1011">
        <v>14224620</v>
      </c>
      <c r="B996" s="1011" t="s">
        <v>4076</v>
      </c>
      <c r="C996" s="1011" t="s">
        <v>2266</v>
      </c>
      <c r="D996" s="1011" t="s">
        <v>2267</v>
      </c>
      <c r="E996" s="1011" t="s">
        <v>1583</v>
      </c>
      <c r="F996" s="1011" t="s">
        <v>2268</v>
      </c>
    </row>
    <row r="997" spans="1:6" x14ac:dyDescent="0.25">
      <c r="A997" s="1011">
        <v>14125967</v>
      </c>
      <c r="B997" s="1011" t="s">
        <v>4077</v>
      </c>
      <c r="C997" s="1011" t="s">
        <v>4078</v>
      </c>
      <c r="D997" s="1011" t="s">
        <v>2313</v>
      </c>
      <c r="E997" s="1011" t="s">
        <v>1588</v>
      </c>
      <c r="F997" s="1011" t="s">
        <v>1347</v>
      </c>
    </row>
    <row r="998" spans="1:6" x14ac:dyDescent="0.25">
      <c r="A998" s="1011">
        <v>44125482</v>
      </c>
      <c r="B998" s="1011" t="s">
        <v>4079</v>
      </c>
      <c r="C998" s="1011" t="s">
        <v>4080</v>
      </c>
      <c r="D998" s="1011" t="s">
        <v>2309</v>
      </c>
      <c r="E998" s="1011" t="s">
        <v>1588</v>
      </c>
      <c r="F998" s="1011" t="s">
        <v>2310</v>
      </c>
    </row>
    <row r="999" spans="1:6" x14ac:dyDescent="0.25">
      <c r="A999" s="1011">
        <v>74123928</v>
      </c>
      <c r="B999" s="1011" t="s">
        <v>4081</v>
      </c>
      <c r="C999" s="1011" t="s">
        <v>4082</v>
      </c>
      <c r="D999" s="1011" t="s">
        <v>3907</v>
      </c>
      <c r="E999" s="1011" t="s">
        <v>1593</v>
      </c>
      <c r="F999" s="1011" t="s">
        <v>3908</v>
      </c>
    </row>
    <row r="1000" spans="1:6" x14ac:dyDescent="0.25">
      <c r="A1000" s="1011">
        <v>24217713</v>
      </c>
      <c r="B1000" s="1011" t="s">
        <v>4083</v>
      </c>
      <c r="C1000" s="1011" t="s">
        <v>4084</v>
      </c>
      <c r="D1000" s="1011" t="s">
        <v>1685</v>
      </c>
      <c r="E1000" s="1011" t="s">
        <v>1593</v>
      </c>
      <c r="F1000" s="1011" t="s">
        <v>1469</v>
      </c>
    </row>
    <row r="1001" spans="1:6" x14ac:dyDescent="0.25">
      <c r="A1001" s="1011">
        <v>64124662</v>
      </c>
      <c r="B1001" s="1011" t="s">
        <v>4085</v>
      </c>
      <c r="C1001" s="1011" t="s">
        <v>4086</v>
      </c>
      <c r="D1001" s="1011" t="s">
        <v>2332</v>
      </c>
      <c r="E1001" s="1011" t="s">
        <v>1583</v>
      </c>
      <c r="F1001" s="1011" t="s">
        <v>2333</v>
      </c>
    </row>
    <row r="1002" spans="1:6" x14ac:dyDescent="0.25">
      <c r="A1002" s="1011">
        <v>74163106</v>
      </c>
      <c r="B1002" s="1011" t="s">
        <v>4087</v>
      </c>
      <c r="C1002" s="1011" t="s">
        <v>4088</v>
      </c>
      <c r="D1002" s="1011" t="s">
        <v>1127</v>
      </c>
      <c r="E1002" s="1011" t="s">
        <v>1593</v>
      </c>
      <c r="F1002" s="1011" t="s">
        <v>1449</v>
      </c>
    </row>
    <row r="1003" spans="1:6" x14ac:dyDescent="0.25">
      <c r="A1003" s="1011">
        <v>4123477</v>
      </c>
      <c r="B1003" s="1011" t="s">
        <v>4089</v>
      </c>
      <c r="C1003" s="1011" t="s">
        <v>4090</v>
      </c>
      <c r="D1003" s="1011" t="s">
        <v>1127</v>
      </c>
      <c r="E1003" s="1011" t="s">
        <v>1593</v>
      </c>
      <c r="F1003" s="1011" t="s">
        <v>1375</v>
      </c>
    </row>
    <row r="1004" spans="1:6" x14ac:dyDescent="0.25">
      <c r="A1004" s="1011">
        <v>74125733</v>
      </c>
      <c r="B1004" s="1011" t="s">
        <v>4091</v>
      </c>
      <c r="C1004" s="1011" t="s">
        <v>4092</v>
      </c>
      <c r="D1004" s="1011" t="s">
        <v>1611</v>
      </c>
      <c r="E1004" s="1011" t="s">
        <v>1612</v>
      </c>
      <c r="F1004" s="1011" t="s">
        <v>1613</v>
      </c>
    </row>
    <row r="1005" spans="1:6" x14ac:dyDescent="0.25">
      <c r="A1005" s="1011">
        <v>44126050</v>
      </c>
      <c r="B1005" s="1011" t="s">
        <v>4093</v>
      </c>
      <c r="C1005" s="1011" t="s">
        <v>4094</v>
      </c>
      <c r="D1005" s="1011" t="s">
        <v>1125</v>
      </c>
      <c r="E1005" s="1011" t="s">
        <v>1588</v>
      </c>
      <c r="F1005" s="1011" t="s">
        <v>1619</v>
      </c>
    </row>
    <row r="1006" spans="1:6" x14ac:dyDescent="0.25">
      <c r="A1006" s="1011">
        <v>4123410</v>
      </c>
      <c r="B1006" s="1011" t="s">
        <v>4095</v>
      </c>
      <c r="C1006" s="1011" t="s">
        <v>4096</v>
      </c>
      <c r="D1006" s="1011" t="s">
        <v>1963</v>
      </c>
      <c r="E1006" s="1011" t="s">
        <v>1593</v>
      </c>
      <c r="F1006" s="1011" t="s">
        <v>1964</v>
      </c>
    </row>
    <row r="1007" spans="1:6" x14ac:dyDescent="0.25">
      <c r="A1007" s="1011">
        <v>54232541</v>
      </c>
      <c r="B1007" s="1011" t="s">
        <v>4097</v>
      </c>
      <c r="C1007" s="1011" t="s">
        <v>4098</v>
      </c>
      <c r="D1007" s="1011" t="s">
        <v>1596</v>
      </c>
      <c r="E1007" s="1011" t="s">
        <v>1593</v>
      </c>
      <c r="F1007" s="1011" t="s">
        <v>1351</v>
      </c>
    </row>
    <row r="1008" spans="1:6" x14ac:dyDescent="0.25">
      <c r="A1008" s="1011">
        <v>14125553</v>
      </c>
      <c r="B1008" s="1011" t="s">
        <v>4099</v>
      </c>
      <c r="C1008" s="1011" t="s">
        <v>4100</v>
      </c>
      <c r="D1008" s="1011" t="s">
        <v>2769</v>
      </c>
      <c r="E1008" s="1011" t="s">
        <v>1588</v>
      </c>
      <c r="F1008" s="1011" t="s">
        <v>2770</v>
      </c>
    </row>
    <row r="1009" spans="1:6" x14ac:dyDescent="0.25">
      <c r="A1009" s="1011">
        <v>24154395</v>
      </c>
      <c r="B1009" s="1011" t="s">
        <v>4101</v>
      </c>
      <c r="C1009" s="1011" t="s">
        <v>4102</v>
      </c>
      <c r="D1009" s="1011" t="s">
        <v>1735</v>
      </c>
      <c r="E1009" s="1011" t="s">
        <v>1588</v>
      </c>
      <c r="F1009" s="1011" t="s">
        <v>1736</v>
      </c>
    </row>
    <row r="1010" spans="1:6" x14ac:dyDescent="0.25">
      <c r="A1010" s="1011">
        <v>14123418</v>
      </c>
      <c r="B1010" s="1011" t="s">
        <v>4103</v>
      </c>
      <c r="C1010" s="1011" t="s">
        <v>4104</v>
      </c>
      <c r="D1010" s="1011" t="s">
        <v>1857</v>
      </c>
      <c r="E1010" s="1011" t="s">
        <v>1593</v>
      </c>
      <c r="F1010" s="1011" t="s">
        <v>1858</v>
      </c>
    </row>
    <row r="1011" spans="1:6" x14ac:dyDescent="0.25">
      <c r="A1011" s="1011">
        <v>74123548</v>
      </c>
      <c r="B1011" s="1011" t="s">
        <v>4105</v>
      </c>
      <c r="C1011" s="1011" t="s">
        <v>4106</v>
      </c>
      <c r="D1011" s="1011" t="s">
        <v>1127</v>
      </c>
      <c r="E1011" s="1011" t="s">
        <v>1593</v>
      </c>
      <c r="F1011" s="1011" t="s">
        <v>1375</v>
      </c>
    </row>
    <row r="1012" spans="1:6" x14ac:dyDescent="0.25">
      <c r="A1012" s="1011">
        <v>94125028</v>
      </c>
      <c r="B1012" s="1011" t="s">
        <v>4107</v>
      </c>
      <c r="C1012" s="1011" t="s">
        <v>3720</v>
      </c>
      <c r="D1012" s="1011" t="s">
        <v>2439</v>
      </c>
      <c r="E1012" s="1011" t="s">
        <v>1583</v>
      </c>
      <c r="F1012" s="1011" t="s">
        <v>2440</v>
      </c>
    </row>
    <row r="1013" spans="1:6" x14ac:dyDescent="0.25">
      <c r="A1013" s="1011">
        <v>4125936</v>
      </c>
      <c r="B1013" s="1011" t="s">
        <v>4108</v>
      </c>
      <c r="C1013" s="1011" t="s">
        <v>4109</v>
      </c>
      <c r="D1013" s="1011" t="s">
        <v>1125</v>
      </c>
      <c r="E1013" s="1011" t="s">
        <v>1588</v>
      </c>
      <c r="F1013" s="1011" t="s">
        <v>1770</v>
      </c>
    </row>
    <row r="1014" spans="1:6" x14ac:dyDescent="0.25">
      <c r="A1014" s="1011">
        <v>4124178</v>
      </c>
      <c r="B1014" s="1011" t="s">
        <v>4110</v>
      </c>
      <c r="C1014" s="1011" t="s">
        <v>4111</v>
      </c>
      <c r="D1014" s="1011" t="s">
        <v>4112</v>
      </c>
      <c r="E1014" s="1011" t="s">
        <v>1593</v>
      </c>
      <c r="F1014" s="1011" t="s">
        <v>4113</v>
      </c>
    </row>
    <row r="1015" spans="1:6" x14ac:dyDescent="0.25">
      <c r="A1015" s="1011">
        <v>54174917</v>
      </c>
      <c r="B1015" s="1011" t="s">
        <v>4114</v>
      </c>
      <c r="C1015" s="1011" t="s">
        <v>4115</v>
      </c>
      <c r="D1015" s="1011" t="s">
        <v>1685</v>
      </c>
      <c r="E1015" s="1011" t="s">
        <v>1593</v>
      </c>
      <c r="F1015" s="1011" t="s">
        <v>1469</v>
      </c>
    </row>
    <row r="1016" spans="1:6" x14ac:dyDescent="0.25">
      <c r="A1016" s="1011">
        <v>4124863</v>
      </c>
      <c r="B1016" s="1011" t="s">
        <v>4116</v>
      </c>
      <c r="C1016" s="1011" t="s">
        <v>2199</v>
      </c>
      <c r="D1016" s="1011" t="s">
        <v>1892</v>
      </c>
      <c r="E1016" s="1011" t="s">
        <v>1583</v>
      </c>
      <c r="F1016" s="1011" t="s">
        <v>1371</v>
      </c>
    </row>
    <row r="1017" spans="1:6" x14ac:dyDescent="0.25">
      <c r="A1017" s="1011">
        <v>4129359</v>
      </c>
      <c r="B1017" s="1011" t="s">
        <v>4117</v>
      </c>
      <c r="C1017" s="1011" t="s">
        <v>4063</v>
      </c>
      <c r="D1017" s="1011" t="s">
        <v>3081</v>
      </c>
      <c r="E1017" s="1011" t="s">
        <v>1612</v>
      </c>
      <c r="F1017" s="1011" t="s">
        <v>3082</v>
      </c>
    </row>
    <row r="1018" spans="1:6" x14ac:dyDescent="0.25">
      <c r="A1018" s="1011">
        <v>24125361</v>
      </c>
      <c r="B1018" s="1011" t="s">
        <v>4118</v>
      </c>
      <c r="C1018" s="1011" t="s">
        <v>4119</v>
      </c>
      <c r="D1018" s="1011" t="s">
        <v>1654</v>
      </c>
      <c r="E1018" s="1011" t="s">
        <v>1588</v>
      </c>
      <c r="F1018" s="1011" t="s">
        <v>4120</v>
      </c>
    </row>
    <row r="1019" spans="1:6" x14ac:dyDescent="0.25">
      <c r="A1019" s="1011">
        <v>44164267</v>
      </c>
      <c r="B1019" s="1011" t="s">
        <v>4121</v>
      </c>
      <c r="C1019" s="1011" t="s">
        <v>2223</v>
      </c>
      <c r="D1019" s="1011" t="s">
        <v>2224</v>
      </c>
      <c r="E1019" s="1011" t="s">
        <v>1593</v>
      </c>
      <c r="F1019" s="1011" t="s">
        <v>2225</v>
      </c>
    </row>
    <row r="1020" spans="1:6" x14ac:dyDescent="0.25">
      <c r="A1020" s="1011">
        <v>74181363</v>
      </c>
      <c r="B1020" s="1011" t="s">
        <v>4122</v>
      </c>
      <c r="C1020" s="1011" t="s">
        <v>4123</v>
      </c>
      <c r="D1020" s="1011" t="s">
        <v>1592</v>
      </c>
      <c r="E1020" s="1011" t="s">
        <v>1593</v>
      </c>
      <c r="F1020" s="1011" t="s">
        <v>1367</v>
      </c>
    </row>
    <row r="1021" spans="1:6" x14ac:dyDescent="0.25">
      <c r="A1021" s="1011">
        <v>84123751</v>
      </c>
      <c r="B1021" s="1011" t="s">
        <v>4124</v>
      </c>
      <c r="C1021" s="1011" t="s">
        <v>4125</v>
      </c>
      <c r="D1021" s="1011" t="s">
        <v>2613</v>
      </c>
      <c r="E1021" s="1011" t="s">
        <v>1593</v>
      </c>
      <c r="F1021" s="1011" t="s">
        <v>1447</v>
      </c>
    </row>
    <row r="1022" spans="1:6" x14ac:dyDescent="0.25">
      <c r="A1022" s="1011">
        <v>54272448</v>
      </c>
      <c r="B1022" s="1011" t="s">
        <v>4126</v>
      </c>
      <c r="C1022" s="1011" t="s">
        <v>4127</v>
      </c>
      <c r="D1022" s="1011" t="s">
        <v>4128</v>
      </c>
      <c r="E1022" s="1011" t="s">
        <v>1588</v>
      </c>
      <c r="F1022" s="1011" t="s">
        <v>4129</v>
      </c>
    </row>
    <row r="1023" spans="1:6" x14ac:dyDescent="0.25">
      <c r="A1023" s="1011">
        <v>94124807</v>
      </c>
      <c r="B1023" s="1011" t="s">
        <v>4130</v>
      </c>
      <c r="C1023" s="1011" t="s">
        <v>4131</v>
      </c>
      <c r="D1023" s="1011" t="s">
        <v>4132</v>
      </c>
      <c r="E1023" s="1011" t="s">
        <v>1583</v>
      </c>
      <c r="F1023" s="1011" t="s">
        <v>1459</v>
      </c>
    </row>
    <row r="1024" spans="1:6" x14ac:dyDescent="0.25">
      <c r="A1024" s="1011">
        <v>54126008</v>
      </c>
      <c r="B1024" s="1011" t="s">
        <v>4133</v>
      </c>
      <c r="C1024" s="1011" t="s">
        <v>4134</v>
      </c>
      <c r="D1024" s="1011" t="s">
        <v>1125</v>
      </c>
      <c r="E1024" s="1011" t="s">
        <v>1588</v>
      </c>
      <c r="F1024" s="1011" t="s">
        <v>1616</v>
      </c>
    </row>
    <row r="1025" spans="1:6" x14ac:dyDescent="0.25">
      <c r="A1025" s="1011">
        <v>34125732</v>
      </c>
      <c r="B1025" s="1011" t="s">
        <v>4135</v>
      </c>
      <c r="C1025" s="1011" t="s">
        <v>4136</v>
      </c>
      <c r="D1025" s="1011" t="s">
        <v>2049</v>
      </c>
      <c r="E1025" s="1011" t="s">
        <v>1588</v>
      </c>
      <c r="F1025" s="1011" t="s">
        <v>2050</v>
      </c>
    </row>
    <row r="1026" spans="1:6" x14ac:dyDescent="0.25">
      <c r="A1026" s="1011">
        <v>74123464</v>
      </c>
      <c r="B1026" s="1011" t="s">
        <v>4137</v>
      </c>
      <c r="C1026" s="1011" t="s">
        <v>4138</v>
      </c>
      <c r="D1026" s="1011" t="s">
        <v>1127</v>
      </c>
      <c r="E1026" s="1011" t="s">
        <v>1593</v>
      </c>
      <c r="F1026" s="1011" t="s">
        <v>1445</v>
      </c>
    </row>
    <row r="1027" spans="1:6" x14ac:dyDescent="0.25">
      <c r="A1027" s="1011">
        <v>84123512</v>
      </c>
      <c r="B1027" s="1011" t="s">
        <v>4139</v>
      </c>
      <c r="C1027" s="1011" t="s">
        <v>4140</v>
      </c>
      <c r="D1027" s="1011" t="s">
        <v>1127</v>
      </c>
      <c r="E1027" s="1011" t="s">
        <v>1593</v>
      </c>
      <c r="F1027" s="1011" t="s">
        <v>1383</v>
      </c>
    </row>
    <row r="1028" spans="1:6" x14ac:dyDescent="0.25">
      <c r="A1028" s="1011">
        <v>4124517</v>
      </c>
      <c r="B1028" s="1011" t="s">
        <v>4141</v>
      </c>
      <c r="C1028" s="1011" t="s">
        <v>4142</v>
      </c>
      <c r="D1028" s="1011" t="s">
        <v>4143</v>
      </c>
      <c r="E1028" s="1011" t="s">
        <v>1583</v>
      </c>
      <c r="F1028" s="1011" t="s">
        <v>1584</v>
      </c>
    </row>
    <row r="1029" spans="1:6" x14ac:dyDescent="0.25">
      <c r="A1029" s="1011">
        <v>94128220</v>
      </c>
      <c r="B1029" s="1011" t="s">
        <v>4144</v>
      </c>
      <c r="C1029" s="1011" t="s">
        <v>4145</v>
      </c>
      <c r="D1029" s="1011" t="s">
        <v>1127</v>
      </c>
      <c r="E1029" s="1011" t="s">
        <v>1593</v>
      </c>
      <c r="F1029" s="1011" t="s">
        <v>1461</v>
      </c>
    </row>
    <row r="1030" spans="1:6" x14ac:dyDescent="0.25">
      <c r="A1030" s="1011">
        <v>34141465</v>
      </c>
      <c r="B1030" s="1011" t="s">
        <v>4146</v>
      </c>
      <c r="C1030" s="1011" t="s">
        <v>4147</v>
      </c>
      <c r="D1030" s="1011" t="s">
        <v>4148</v>
      </c>
      <c r="E1030" s="1011" t="s">
        <v>1593</v>
      </c>
      <c r="F1030" s="1011" t="s">
        <v>4149</v>
      </c>
    </row>
    <row r="1031" spans="1:6" x14ac:dyDescent="0.25">
      <c r="A1031" s="1011">
        <v>54125232</v>
      </c>
      <c r="B1031" s="1011" t="s">
        <v>4150</v>
      </c>
      <c r="C1031" s="1011" t="s">
        <v>4151</v>
      </c>
      <c r="D1031" s="1011" t="s">
        <v>72</v>
      </c>
      <c r="E1031" s="1011" t="s">
        <v>1612</v>
      </c>
      <c r="F1031" s="1011" t="s">
        <v>4152</v>
      </c>
    </row>
    <row r="1032" spans="1:6" x14ac:dyDescent="0.25">
      <c r="A1032" s="1011">
        <v>34124321</v>
      </c>
      <c r="B1032" s="1011" t="s">
        <v>4153</v>
      </c>
      <c r="C1032" s="1011" t="s">
        <v>4154</v>
      </c>
      <c r="D1032" s="1011" t="s">
        <v>1127</v>
      </c>
      <c r="E1032" s="1011" t="s">
        <v>1593</v>
      </c>
      <c r="F1032" s="1011" t="s">
        <v>1395</v>
      </c>
    </row>
    <row r="1033" spans="1:6" x14ac:dyDescent="0.25">
      <c r="A1033" s="1011">
        <v>24124497</v>
      </c>
      <c r="B1033" s="1011" t="s">
        <v>4155</v>
      </c>
      <c r="C1033" s="1011" t="s">
        <v>4156</v>
      </c>
      <c r="D1033" s="1011" t="s">
        <v>4157</v>
      </c>
      <c r="E1033" s="1011" t="s">
        <v>1593</v>
      </c>
      <c r="F1033" s="1011" t="s">
        <v>4158</v>
      </c>
    </row>
    <row r="1034" spans="1:6" x14ac:dyDescent="0.25">
      <c r="A1034" s="1011">
        <v>83819961</v>
      </c>
      <c r="B1034" s="1011" t="s">
        <v>4159</v>
      </c>
      <c r="C1034" s="1011" t="s">
        <v>4160</v>
      </c>
      <c r="D1034" s="1011" t="s">
        <v>1892</v>
      </c>
      <c r="E1034" s="1011" t="s">
        <v>1583</v>
      </c>
      <c r="F1034" s="1011" t="s">
        <v>1371</v>
      </c>
    </row>
    <row r="1035" spans="1:6" x14ac:dyDescent="0.25">
      <c r="A1035" s="1011">
        <v>73823569</v>
      </c>
      <c r="B1035" s="1011" t="s">
        <v>4161</v>
      </c>
      <c r="C1035" s="1011" t="s">
        <v>3069</v>
      </c>
      <c r="D1035" s="1011" t="s">
        <v>1756</v>
      </c>
      <c r="E1035" s="1011" t="s">
        <v>1593</v>
      </c>
      <c r="F1035" s="1011" t="s">
        <v>1429</v>
      </c>
    </row>
    <row r="1036" spans="1:6" x14ac:dyDescent="0.25">
      <c r="A1036" s="1011">
        <v>34125278</v>
      </c>
      <c r="B1036" s="1011" t="s">
        <v>4162</v>
      </c>
      <c r="C1036" s="1011" t="s">
        <v>4163</v>
      </c>
      <c r="D1036" s="1011" t="s">
        <v>2662</v>
      </c>
      <c r="E1036" s="1011" t="s">
        <v>1588</v>
      </c>
      <c r="F1036" s="1011" t="s">
        <v>2663</v>
      </c>
    </row>
    <row r="1037" spans="1:6" x14ac:dyDescent="0.25">
      <c r="A1037" s="1011">
        <v>94124179</v>
      </c>
      <c r="B1037" s="1011" t="s">
        <v>4164</v>
      </c>
      <c r="C1037" s="1011" t="s">
        <v>4165</v>
      </c>
      <c r="D1037" s="1011" t="s">
        <v>1728</v>
      </c>
      <c r="E1037" s="1011" t="s">
        <v>1593</v>
      </c>
      <c r="F1037" s="1011" t="s">
        <v>1729</v>
      </c>
    </row>
    <row r="1038" spans="1:6" x14ac:dyDescent="0.25">
      <c r="A1038" s="1011">
        <v>34128231</v>
      </c>
      <c r="B1038" s="1011" t="s">
        <v>4166</v>
      </c>
      <c r="C1038" s="1011" t="s">
        <v>4167</v>
      </c>
      <c r="D1038" s="1011" t="s">
        <v>2398</v>
      </c>
      <c r="E1038" s="1011" t="s">
        <v>1593</v>
      </c>
      <c r="F1038" s="1011" t="s">
        <v>2399</v>
      </c>
    </row>
    <row r="1039" spans="1:6" x14ac:dyDescent="0.25">
      <c r="A1039" s="1011">
        <v>54126099</v>
      </c>
      <c r="B1039" s="1011" t="s">
        <v>4168</v>
      </c>
      <c r="C1039" s="1011" t="s">
        <v>4169</v>
      </c>
      <c r="D1039" s="1011" t="s">
        <v>1125</v>
      </c>
      <c r="E1039" s="1011" t="s">
        <v>1588</v>
      </c>
      <c r="F1039" s="1011" t="s">
        <v>1682</v>
      </c>
    </row>
    <row r="1040" spans="1:6" x14ac:dyDescent="0.25">
      <c r="A1040" s="1011">
        <v>14124473</v>
      </c>
      <c r="B1040" s="1011" t="s">
        <v>4170</v>
      </c>
      <c r="C1040" s="1011" t="s">
        <v>4171</v>
      </c>
      <c r="D1040" s="1011" t="s">
        <v>1602</v>
      </c>
      <c r="E1040" s="1011" t="s">
        <v>1593</v>
      </c>
      <c r="F1040" s="1011" t="s">
        <v>1417</v>
      </c>
    </row>
    <row r="1041" spans="1:6" x14ac:dyDescent="0.25">
      <c r="A1041" s="1011">
        <v>64125503</v>
      </c>
      <c r="B1041" s="1011" t="s">
        <v>4172</v>
      </c>
      <c r="C1041" s="1011" t="s">
        <v>4173</v>
      </c>
      <c r="D1041" s="1011" t="s">
        <v>1909</v>
      </c>
      <c r="E1041" s="1011" t="s">
        <v>1588</v>
      </c>
      <c r="F1041" s="1011" t="s">
        <v>1910</v>
      </c>
    </row>
    <row r="1042" spans="1:6" x14ac:dyDescent="0.25">
      <c r="A1042" s="1011">
        <v>84124742</v>
      </c>
      <c r="B1042" s="1011" t="s">
        <v>4174</v>
      </c>
      <c r="C1042" s="1011" t="s">
        <v>4175</v>
      </c>
      <c r="D1042" s="1011" t="s">
        <v>2776</v>
      </c>
      <c r="E1042" s="1011" t="s">
        <v>1583</v>
      </c>
      <c r="F1042" s="1011" t="s">
        <v>1343</v>
      </c>
    </row>
    <row r="1043" spans="1:6" x14ac:dyDescent="0.25">
      <c r="A1043" s="1011">
        <v>94125382</v>
      </c>
      <c r="B1043" s="1011" t="s">
        <v>2003</v>
      </c>
      <c r="C1043" s="1011" t="s">
        <v>4176</v>
      </c>
      <c r="D1043" s="1011" t="s">
        <v>1125</v>
      </c>
      <c r="E1043" s="1011" t="s">
        <v>1588</v>
      </c>
      <c r="F1043" s="1011" t="s">
        <v>1361</v>
      </c>
    </row>
    <row r="1044" spans="1:6" x14ac:dyDescent="0.25">
      <c r="A1044" s="1011">
        <v>74125014</v>
      </c>
      <c r="B1044" s="1011" t="s">
        <v>4177</v>
      </c>
      <c r="C1044" s="1011" t="s">
        <v>4178</v>
      </c>
      <c r="D1044" s="1011" t="s">
        <v>2373</v>
      </c>
      <c r="E1044" s="1011" t="s">
        <v>1583</v>
      </c>
      <c r="F1044" s="1011" t="s">
        <v>1391</v>
      </c>
    </row>
    <row r="1045" spans="1:6" x14ac:dyDescent="0.25">
      <c r="A1045" s="1011">
        <v>4124632</v>
      </c>
      <c r="B1045" s="1011" t="s">
        <v>4179</v>
      </c>
      <c r="C1045" s="1011" t="s">
        <v>4180</v>
      </c>
      <c r="D1045" s="1011" t="s">
        <v>3828</v>
      </c>
      <c r="E1045" s="1011" t="s">
        <v>1593</v>
      </c>
      <c r="F1045" s="1011" t="s">
        <v>3829</v>
      </c>
    </row>
    <row r="1046" spans="1:6" x14ac:dyDescent="0.25">
      <c r="A1046" s="1011">
        <v>44125847</v>
      </c>
      <c r="B1046" s="1011" t="s">
        <v>4181</v>
      </c>
      <c r="C1046" s="1011" t="s">
        <v>4182</v>
      </c>
      <c r="D1046" s="1011" t="s">
        <v>4183</v>
      </c>
      <c r="E1046" s="1011" t="s">
        <v>1588</v>
      </c>
      <c r="F1046" s="1011" t="s">
        <v>1736</v>
      </c>
    </row>
    <row r="1047" spans="1:6" x14ac:dyDescent="0.25">
      <c r="A1047" s="1011">
        <v>14125744</v>
      </c>
      <c r="B1047" s="1011" t="s">
        <v>4184</v>
      </c>
      <c r="C1047" s="1011" t="s">
        <v>4185</v>
      </c>
      <c r="D1047" s="1011" t="s">
        <v>1125</v>
      </c>
      <c r="E1047" s="1011" t="s">
        <v>1588</v>
      </c>
      <c r="F1047" s="1011" t="s">
        <v>1616</v>
      </c>
    </row>
    <row r="1048" spans="1:6" x14ac:dyDescent="0.25">
      <c r="A1048" s="1011">
        <v>34123604</v>
      </c>
      <c r="B1048" s="1011" t="s">
        <v>4186</v>
      </c>
      <c r="C1048" s="1011" t="s">
        <v>4187</v>
      </c>
      <c r="D1048" s="1011" t="s">
        <v>2678</v>
      </c>
      <c r="E1048" s="1011" t="s">
        <v>1593</v>
      </c>
      <c r="F1048" s="1011" t="s">
        <v>2679</v>
      </c>
    </row>
    <row r="1049" spans="1:6" x14ac:dyDescent="0.25">
      <c r="A1049" s="1011">
        <v>94125655</v>
      </c>
      <c r="B1049" s="1011" t="s">
        <v>4188</v>
      </c>
      <c r="C1049" s="1011" t="s">
        <v>4189</v>
      </c>
      <c r="D1049" s="1011" t="s">
        <v>4190</v>
      </c>
      <c r="E1049" s="1011" t="s">
        <v>1588</v>
      </c>
      <c r="F1049" s="1011" t="s">
        <v>4191</v>
      </c>
    </row>
    <row r="1050" spans="1:6" x14ac:dyDescent="0.25">
      <c r="A1050" s="1011">
        <v>24124414</v>
      </c>
      <c r="B1050" s="1011" t="s">
        <v>4192</v>
      </c>
      <c r="C1050" s="1011" t="s">
        <v>2335</v>
      </c>
      <c r="D1050" s="1011" t="s">
        <v>1756</v>
      </c>
      <c r="E1050" s="1011" t="s">
        <v>1593</v>
      </c>
      <c r="F1050" s="1011" t="s">
        <v>1429</v>
      </c>
    </row>
    <row r="1051" spans="1:6" x14ac:dyDescent="0.25">
      <c r="A1051" s="1011">
        <v>24124596</v>
      </c>
      <c r="B1051" s="1011" t="s">
        <v>4193</v>
      </c>
      <c r="C1051" s="1011" t="s">
        <v>4194</v>
      </c>
      <c r="D1051" s="1011" t="s">
        <v>1127</v>
      </c>
      <c r="E1051" s="1011" t="s">
        <v>1593</v>
      </c>
      <c r="F1051" s="1011" t="s">
        <v>1395</v>
      </c>
    </row>
    <row r="1052" spans="1:6" x14ac:dyDescent="0.25">
      <c r="A1052" s="1011">
        <v>14123699</v>
      </c>
      <c r="B1052" s="1011" t="s">
        <v>4195</v>
      </c>
      <c r="C1052" s="1011" t="s">
        <v>4196</v>
      </c>
      <c r="D1052" s="1011" t="s">
        <v>1127</v>
      </c>
      <c r="E1052" s="1011" t="s">
        <v>1593</v>
      </c>
      <c r="F1052" s="1011" t="s">
        <v>1341</v>
      </c>
    </row>
    <row r="1053" spans="1:6" x14ac:dyDescent="0.25">
      <c r="A1053" s="1011">
        <v>24124026</v>
      </c>
      <c r="B1053" s="1011" t="s">
        <v>4197</v>
      </c>
      <c r="C1053" s="1011" t="s">
        <v>4198</v>
      </c>
      <c r="D1053" s="1011" t="s">
        <v>3381</v>
      </c>
      <c r="E1053" s="1011" t="s">
        <v>1588</v>
      </c>
      <c r="F1053" s="1011" t="s">
        <v>3382</v>
      </c>
    </row>
    <row r="1054" spans="1:6" x14ac:dyDescent="0.25">
      <c r="A1054" s="1011">
        <v>84140904</v>
      </c>
      <c r="B1054" s="1011" t="s">
        <v>4199</v>
      </c>
      <c r="C1054" s="1011" t="s">
        <v>4200</v>
      </c>
      <c r="D1054" s="1011" t="s">
        <v>1641</v>
      </c>
      <c r="E1054" s="1011" t="s">
        <v>1583</v>
      </c>
      <c r="F1054" s="1011" t="s">
        <v>1463</v>
      </c>
    </row>
    <row r="1055" spans="1:6" x14ac:dyDescent="0.25">
      <c r="A1055" s="1011">
        <v>4125332</v>
      </c>
      <c r="B1055" s="1011" t="s">
        <v>4201</v>
      </c>
      <c r="C1055" s="1011" t="s">
        <v>4202</v>
      </c>
      <c r="D1055" s="1011" t="s">
        <v>2838</v>
      </c>
      <c r="E1055" s="1011" t="s">
        <v>1612</v>
      </c>
      <c r="F1055" s="1011" t="s">
        <v>2839</v>
      </c>
    </row>
    <row r="1056" spans="1:6" x14ac:dyDescent="0.25">
      <c r="A1056" s="1011">
        <v>74123688</v>
      </c>
      <c r="B1056" s="1011" t="s">
        <v>4203</v>
      </c>
      <c r="C1056" s="1011" t="s">
        <v>4204</v>
      </c>
      <c r="D1056" s="1011" t="s">
        <v>2465</v>
      </c>
      <c r="E1056" s="1011" t="s">
        <v>1593</v>
      </c>
      <c r="F1056" s="1011" t="s">
        <v>2466</v>
      </c>
    </row>
    <row r="1057" spans="1:6" x14ac:dyDescent="0.25">
      <c r="A1057" s="1011">
        <v>24125833</v>
      </c>
      <c r="B1057" s="1011" t="s">
        <v>4205</v>
      </c>
      <c r="C1057" s="1011" t="s">
        <v>4206</v>
      </c>
      <c r="D1057" s="1011" t="s">
        <v>1125</v>
      </c>
      <c r="E1057" s="1011" t="s">
        <v>1588</v>
      </c>
      <c r="F1057" s="1011" t="s">
        <v>1616</v>
      </c>
    </row>
    <row r="1058" spans="1:6" x14ac:dyDescent="0.25">
      <c r="A1058" s="1011">
        <v>4123634</v>
      </c>
      <c r="B1058" s="1011" t="s">
        <v>4207</v>
      </c>
      <c r="C1058" s="1011" t="s">
        <v>4208</v>
      </c>
      <c r="D1058" s="1011" t="s">
        <v>1127</v>
      </c>
      <c r="E1058" s="1011" t="s">
        <v>1593</v>
      </c>
      <c r="F1058" s="1011" t="s">
        <v>1383</v>
      </c>
    </row>
    <row r="1059" spans="1:6" x14ac:dyDescent="0.25">
      <c r="A1059" s="1011">
        <v>34125302</v>
      </c>
      <c r="B1059" s="1011" t="s">
        <v>4209</v>
      </c>
      <c r="C1059" s="1011" t="s">
        <v>4210</v>
      </c>
      <c r="D1059" s="1011" t="s">
        <v>1735</v>
      </c>
      <c r="E1059" s="1011" t="s">
        <v>1588</v>
      </c>
      <c r="F1059" s="1011" t="s">
        <v>1736</v>
      </c>
    </row>
    <row r="1060" spans="1:6" x14ac:dyDescent="0.25">
      <c r="A1060" s="1011">
        <v>54125406</v>
      </c>
      <c r="B1060" s="1011" t="s">
        <v>4211</v>
      </c>
      <c r="C1060" s="1011" t="s">
        <v>4212</v>
      </c>
      <c r="D1060" s="1011" t="s">
        <v>2313</v>
      </c>
      <c r="E1060" s="1011" t="s">
        <v>1588</v>
      </c>
      <c r="F1060" s="1011" t="s">
        <v>1347</v>
      </c>
    </row>
    <row r="1061" spans="1:6" x14ac:dyDescent="0.25">
      <c r="A1061" s="1011">
        <v>84125673</v>
      </c>
      <c r="B1061" s="1011" t="s">
        <v>4213</v>
      </c>
      <c r="C1061" s="1011" t="s">
        <v>4214</v>
      </c>
      <c r="D1061" s="1011" t="s">
        <v>1735</v>
      </c>
      <c r="E1061" s="1011" t="s">
        <v>1588</v>
      </c>
      <c r="F1061" s="1011" t="s">
        <v>1736</v>
      </c>
    </row>
    <row r="1062" spans="1:6" x14ac:dyDescent="0.25">
      <c r="A1062" s="1011">
        <v>94124211</v>
      </c>
      <c r="B1062" s="1011" t="s">
        <v>4215</v>
      </c>
      <c r="C1062" s="1011" t="s">
        <v>4216</v>
      </c>
      <c r="D1062" s="1011" t="s">
        <v>1756</v>
      </c>
      <c r="E1062" s="1011" t="s">
        <v>1593</v>
      </c>
      <c r="F1062" s="1011" t="s">
        <v>1429</v>
      </c>
    </row>
    <row r="1063" spans="1:6" x14ac:dyDescent="0.25">
      <c r="A1063" s="1011">
        <v>94255288</v>
      </c>
      <c r="B1063" s="1011" t="s">
        <v>4217</v>
      </c>
      <c r="C1063" s="1011" t="s">
        <v>2420</v>
      </c>
      <c r="D1063" s="1011" t="s">
        <v>2313</v>
      </c>
      <c r="E1063" s="1011" t="s">
        <v>1588</v>
      </c>
      <c r="F1063" s="1011" t="s">
        <v>1347</v>
      </c>
    </row>
    <row r="1064" spans="1:6" x14ac:dyDescent="0.25">
      <c r="A1064" s="1011">
        <v>74124553</v>
      </c>
      <c r="B1064" s="1011" t="s">
        <v>4218</v>
      </c>
      <c r="C1064" s="1011" t="s">
        <v>4219</v>
      </c>
      <c r="D1064" s="1011" t="s">
        <v>2125</v>
      </c>
      <c r="E1064" s="1011" t="s">
        <v>1593</v>
      </c>
      <c r="F1064" s="1011" t="s">
        <v>2126</v>
      </c>
    </row>
    <row r="1065" spans="1:6" x14ac:dyDescent="0.25">
      <c r="A1065" s="1011">
        <v>14124853</v>
      </c>
      <c r="B1065" s="1011" t="s">
        <v>4220</v>
      </c>
      <c r="C1065" s="1011" t="s">
        <v>4221</v>
      </c>
      <c r="D1065" s="1011" t="s">
        <v>4222</v>
      </c>
      <c r="E1065" s="1011" t="s">
        <v>1583</v>
      </c>
      <c r="F1065" s="1011" t="s">
        <v>4223</v>
      </c>
    </row>
    <row r="1066" spans="1:6" x14ac:dyDescent="0.25">
      <c r="A1066" s="1011">
        <v>54139787</v>
      </c>
      <c r="B1066" s="1011" t="s">
        <v>4224</v>
      </c>
      <c r="C1066" s="1011" t="s">
        <v>4225</v>
      </c>
      <c r="D1066" s="1011" t="s">
        <v>3085</v>
      </c>
      <c r="E1066" s="1011" t="s">
        <v>1593</v>
      </c>
      <c r="F1066" s="1011" t="s">
        <v>3086</v>
      </c>
    </row>
    <row r="1067" spans="1:6" x14ac:dyDescent="0.25">
      <c r="A1067" s="1011">
        <v>14126098</v>
      </c>
      <c r="B1067" s="1011" t="s">
        <v>4226</v>
      </c>
      <c r="C1067" s="1011" t="s">
        <v>4227</v>
      </c>
      <c r="D1067" s="1011" t="s">
        <v>2295</v>
      </c>
      <c r="E1067" s="1011" t="s">
        <v>1612</v>
      </c>
      <c r="F1067" s="1011" t="s">
        <v>2296</v>
      </c>
    </row>
    <row r="1068" spans="1:6" x14ac:dyDescent="0.25">
      <c r="A1068" s="1011">
        <v>44124196</v>
      </c>
      <c r="B1068" s="1011" t="s">
        <v>4228</v>
      </c>
      <c r="C1068" s="1011" t="s">
        <v>4229</v>
      </c>
      <c r="D1068" s="1011" t="s">
        <v>1127</v>
      </c>
      <c r="E1068" s="1011" t="s">
        <v>1593</v>
      </c>
      <c r="F1068" s="1011" t="s">
        <v>1445</v>
      </c>
    </row>
    <row r="1069" spans="1:6" x14ac:dyDescent="0.25">
      <c r="A1069" s="1011">
        <v>4124871</v>
      </c>
      <c r="B1069" s="1011" t="s">
        <v>4230</v>
      </c>
      <c r="C1069" s="1011" t="s">
        <v>4231</v>
      </c>
      <c r="D1069" s="1011" t="s">
        <v>4232</v>
      </c>
      <c r="E1069" s="1011" t="s">
        <v>1583</v>
      </c>
      <c r="F1069" s="1011" t="s">
        <v>4233</v>
      </c>
    </row>
    <row r="1070" spans="1:6" x14ac:dyDescent="0.25">
      <c r="A1070" s="1011">
        <v>74237769</v>
      </c>
      <c r="B1070" s="1011" t="s">
        <v>4234</v>
      </c>
      <c r="C1070" s="1011" t="s">
        <v>4235</v>
      </c>
      <c r="D1070" s="1011" t="s">
        <v>1756</v>
      </c>
      <c r="E1070" s="1011" t="s">
        <v>1593</v>
      </c>
      <c r="F1070" s="1011" t="s">
        <v>1429</v>
      </c>
    </row>
    <row r="1071" spans="1:6" x14ac:dyDescent="0.25">
      <c r="A1071" s="1011">
        <v>24123754</v>
      </c>
      <c r="B1071" s="1011" t="s">
        <v>4236</v>
      </c>
      <c r="C1071" s="1011" t="s">
        <v>4237</v>
      </c>
      <c r="D1071" s="1011" t="s">
        <v>4112</v>
      </c>
      <c r="E1071" s="1011" t="s">
        <v>1593</v>
      </c>
      <c r="F1071" s="1011" t="s">
        <v>4113</v>
      </c>
    </row>
    <row r="1072" spans="1:6" x14ac:dyDescent="0.25">
      <c r="A1072" s="1011">
        <v>44125300</v>
      </c>
      <c r="B1072" s="1011" t="s">
        <v>4238</v>
      </c>
      <c r="C1072" s="1011" t="s">
        <v>4239</v>
      </c>
      <c r="D1072" s="1011" t="s">
        <v>4240</v>
      </c>
      <c r="E1072" s="1011" t="s">
        <v>1612</v>
      </c>
      <c r="F1072" s="1011" t="s">
        <v>4241</v>
      </c>
    </row>
    <row r="1073" spans="1:6" x14ac:dyDescent="0.25">
      <c r="A1073" s="1011">
        <v>54124706</v>
      </c>
      <c r="B1073" s="1011" t="s">
        <v>4242</v>
      </c>
      <c r="C1073" s="1011" t="s">
        <v>4243</v>
      </c>
      <c r="D1073" s="1011" t="s">
        <v>3245</v>
      </c>
      <c r="E1073" s="1011" t="s">
        <v>1593</v>
      </c>
      <c r="F1073" s="1011" t="s">
        <v>3246</v>
      </c>
    </row>
    <row r="1074" spans="1:6" x14ac:dyDescent="0.25">
      <c r="A1074" s="1011">
        <v>94123528</v>
      </c>
      <c r="B1074" s="1011" t="s">
        <v>4244</v>
      </c>
      <c r="C1074" s="1011" t="s">
        <v>4245</v>
      </c>
      <c r="D1074" s="1011" t="s">
        <v>1127</v>
      </c>
      <c r="E1074" s="1011" t="s">
        <v>1593</v>
      </c>
      <c r="F1074" s="1011" t="s">
        <v>1449</v>
      </c>
    </row>
    <row r="1075" spans="1:6" x14ac:dyDescent="0.25">
      <c r="A1075" s="1011">
        <v>44123412</v>
      </c>
      <c r="B1075" s="1011" t="s">
        <v>4246</v>
      </c>
      <c r="C1075" s="1011" t="s">
        <v>4247</v>
      </c>
      <c r="D1075" s="1011" t="s">
        <v>2465</v>
      </c>
      <c r="E1075" s="1011" t="s">
        <v>1593</v>
      </c>
      <c r="F1075" s="1011" t="s">
        <v>2466</v>
      </c>
    </row>
    <row r="1076" spans="1:6" x14ac:dyDescent="0.25">
      <c r="A1076" s="1011">
        <v>44123636</v>
      </c>
      <c r="B1076" s="1011" t="s">
        <v>4248</v>
      </c>
      <c r="C1076" s="1011" t="s">
        <v>4249</v>
      </c>
      <c r="D1076" s="1011" t="s">
        <v>1127</v>
      </c>
      <c r="E1076" s="1011" t="s">
        <v>1593</v>
      </c>
      <c r="F1076" s="1011" t="s">
        <v>1383</v>
      </c>
    </row>
    <row r="1077" spans="1:6" x14ac:dyDescent="0.25">
      <c r="A1077" s="1011">
        <v>4124236</v>
      </c>
      <c r="B1077" s="1011" t="s">
        <v>4250</v>
      </c>
      <c r="C1077" s="1011" t="s">
        <v>4251</v>
      </c>
      <c r="D1077" s="1011" t="s">
        <v>1815</v>
      </c>
      <c r="E1077" s="1011" t="s">
        <v>1593</v>
      </c>
      <c r="F1077" s="1011" t="s">
        <v>1816</v>
      </c>
    </row>
    <row r="1078" spans="1:6" x14ac:dyDescent="0.25">
      <c r="A1078" s="1011">
        <v>64236540</v>
      </c>
      <c r="B1078" s="1011" t="s">
        <v>4252</v>
      </c>
      <c r="C1078" s="1011" t="s">
        <v>4253</v>
      </c>
      <c r="D1078" s="1011" t="s">
        <v>2613</v>
      </c>
      <c r="E1078" s="1011" t="s">
        <v>1593</v>
      </c>
      <c r="F1078" s="1011" t="s">
        <v>1447</v>
      </c>
    </row>
    <row r="1079" spans="1:6" x14ac:dyDescent="0.25">
      <c r="A1079" s="1011">
        <v>84124825</v>
      </c>
      <c r="B1079" s="1011" t="s">
        <v>4254</v>
      </c>
      <c r="C1079" s="1011" t="s">
        <v>4255</v>
      </c>
      <c r="D1079" s="1011" t="s">
        <v>4256</v>
      </c>
      <c r="E1079" s="1011" t="s">
        <v>1583</v>
      </c>
      <c r="F1079" s="1011" t="s">
        <v>4257</v>
      </c>
    </row>
    <row r="1080" spans="1:6" x14ac:dyDescent="0.25">
      <c r="A1080" s="1011">
        <v>4123501</v>
      </c>
      <c r="B1080" s="1011" t="s">
        <v>4258</v>
      </c>
      <c r="C1080" s="1011" t="s">
        <v>4259</v>
      </c>
      <c r="D1080" s="1011" t="s">
        <v>1127</v>
      </c>
      <c r="E1080" s="1011" t="s">
        <v>1593</v>
      </c>
      <c r="F1080" s="1011" t="s">
        <v>1383</v>
      </c>
    </row>
    <row r="1081" spans="1:6" x14ac:dyDescent="0.25">
      <c r="A1081" s="1011">
        <v>4124335</v>
      </c>
      <c r="B1081" s="1011" t="s">
        <v>4260</v>
      </c>
      <c r="C1081" s="1011" t="s">
        <v>3220</v>
      </c>
      <c r="D1081" s="1011" t="s">
        <v>1728</v>
      </c>
      <c r="E1081" s="1011" t="s">
        <v>1593</v>
      </c>
      <c r="F1081" s="1011" t="s">
        <v>1729</v>
      </c>
    </row>
    <row r="1082" spans="1:6" x14ac:dyDescent="0.25">
      <c r="A1082" s="1011">
        <v>34236075</v>
      </c>
      <c r="B1082" s="1011" t="s">
        <v>4261</v>
      </c>
      <c r="C1082" s="1011" t="s">
        <v>4262</v>
      </c>
      <c r="D1082" s="1011" t="s">
        <v>1796</v>
      </c>
      <c r="E1082" s="1011" t="s">
        <v>1588</v>
      </c>
      <c r="F1082" s="1011" t="s">
        <v>1797</v>
      </c>
    </row>
    <row r="1083" spans="1:6" x14ac:dyDescent="0.25">
      <c r="A1083" s="1011">
        <v>14123871</v>
      </c>
      <c r="B1083" s="1011" t="s">
        <v>4263</v>
      </c>
      <c r="C1083" s="1011" t="s">
        <v>4264</v>
      </c>
      <c r="D1083" s="1011" t="s">
        <v>4265</v>
      </c>
      <c r="E1083" s="1011" t="s">
        <v>1593</v>
      </c>
      <c r="F1083" s="1011" t="s">
        <v>4266</v>
      </c>
    </row>
    <row r="1084" spans="1:6" x14ac:dyDescent="0.25">
      <c r="A1084" s="1011">
        <v>24124471</v>
      </c>
      <c r="B1084" s="1011" t="s">
        <v>4267</v>
      </c>
      <c r="C1084" s="1011" t="s">
        <v>4268</v>
      </c>
      <c r="D1084" s="1011" t="s">
        <v>4269</v>
      </c>
      <c r="E1084" s="1011" t="s">
        <v>1583</v>
      </c>
      <c r="F1084" s="1011" t="s">
        <v>4270</v>
      </c>
    </row>
    <row r="1085" spans="1:6" x14ac:dyDescent="0.25">
      <c r="A1085" s="1011">
        <v>54124342</v>
      </c>
      <c r="B1085" s="1011" t="s">
        <v>4271</v>
      </c>
      <c r="C1085" s="1011" t="s">
        <v>4272</v>
      </c>
      <c r="D1085" s="1011" t="s">
        <v>1127</v>
      </c>
      <c r="E1085" s="1011" t="s">
        <v>1593</v>
      </c>
      <c r="F1085" s="1011" t="s">
        <v>1383</v>
      </c>
    </row>
    <row r="1086" spans="1:6" x14ac:dyDescent="0.25">
      <c r="A1086" s="1011">
        <v>4123824</v>
      </c>
      <c r="B1086" s="1011" t="s">
        <v>4273</v>
      </c>
      <c r="C1086" s="1011" t="s">
        <v>4274</v>
      </c>
      <c r="D1086" s="1011" t="s">
        <v>3595</v>
      </c>
      <c r="E1086" s="1011" t="s">
        <v>1588</v>
      </c>
      <c r="F1086" s="1011" t="s">
        <v>3596</v>
      </c>
    </row>
    <row r="1087" spans="1:6" x14ac:dyDescent="0.25">
      <c r="A1087" s="1011">
        <v>24124224</v>
      </c>
      <c r="B1087" s="1011" t="s">
        <v>4275</v>
      </c>
      <c r="C1087" s="1011" t="s">
        <v>4276</v>
      </c>
      <c r="D1087" s="1011" t="s">
        <v>4277</v>
      </c>
      <c r="E1087" s="1011" t="s">
        <v>1583</v>
      </c>
      <c r="F1087" s="1011" t="s">
        <v>4278</v>
      </c>
    </row>
    <row r="1088" spans="1:6" x14ac:dyDescent="0.25">
      <c r="A1088" s="1011">
        <v>14192140</v>
      </c>
      <c r="B1088" s="1011" t="s">
        <v>4279</v>
      </c>
      <c r="C1088" s="1011" t="s">
        <v>4280</v>
      </c>
      <c r="D1088" s="1011" t="s">
        <v>1804</v>
      </c>
      <c r="E1088" s="1011" t="s">
        <v>1588</v>
      </c>
      <c r="F1088" s="1011" t="s">
        <v>1805</v>
      </c>
    </row>
    <row r="1089" spans="1:6" x14ac:dyDescent="0.25">
      <c r="A1089" s="1011">
        <v>14125421</v>
      </c>
      <c r="B1089" s="1011" t="s">
        <v>4281</v>
      </c>
      <c r="C1089" s="1011" t="s">
        <v>2163</v>
      </c>
      <c r="D1089" s="1011" t="s">
        <v>3539</v>
      </c>
      <c r="E1089" s="1011" t="s">
        <v>1588</v>
      </c>
      <c r="F1089" s="1011" t="s">
        <v>3540</v>
      </c>
    </row>
    <row r="1090" spans="1:6" x14ac:dyDescent="0.25">
      <c r="A1090" s="1011">
        <v>44171346</v>
      </c>
      <c r="B1090" s="1011" t="s">
        <v>4282</v>
      </c>
      <c r="C1090" s="1011" t="s">
        <v>4283</v>
      </c>
      <c r="D1090" s="1011" t="s">
        <v>3691</v>
      </c>
      <c r="E1090" s="1011" t="s">
        <v>1593</v>
      </c>
      <c r="F1090" s="1011" t="s">
        <v>1455</v>
      </c>
    </row>
    <row r="1091" spans="1:6" x14ac:dyDescent="0.25">
      <c r="A1091" s="1011">
        <v>14123558</v>
      </c>
      <c r="B1091" s="1011" t="s">
        <v>4284</v>
      </c>
      <c r="C1091" s="1011" t="s">
        <v>4285</v>
      </c>
      <c r="D1091" s="1011" t="s">
        <v>1127</v>
      </c>
      <c r="E1091" s="1011" t="s">
        <v>1593</v>
      </c>
      <c r="F1091" s="1011" t="s">
        <v>3908</v>
      </c>
    </row>
    <row r="1092" spans="1:6" x14ac:dyDescent="0.25">
      <c r="A1092" s="1011">
        <v>64124928</v>
      </c>
      <c r="B1092" s="1011" t="s">
        <v>4286</v>
      </c>
      <c r="C1092" s="1011" t="s">
        <v>4287</v>
      </c>
      <c r="D1092" s="1011" t="s">
        <v>2299</v>
      </c>
      <c r="E1092" s="1011" t="s">
        <v>1583</v>
      </c>
      <c r="F1092" s="1011" t="s">
        <v>1345</v>
      </c>
    </row>
    <row r="1093" spans="1:6" x14ac:dyDescent="0.25">
      <c r="A1093" s="1011">
        <v>44125326</v>
      </c>
      <c r="B1093" s="1011" t="s">
        <v>4288</v>
      </c>
      <c r="C1093" s="1011" t="s">
        <v>4289</v>
      </c>
      <c r="D1093" s="1011" t="s">
        <v>1125</v>
      </c>
      <c r="E1093" s="1011" t="s">
        <v>1588</v>
      </c>
      <c r="F1093" s="1011" t="s">
        <v>1616</v>
      </c>
    </row>
    <row r="1094" spans="1:6" x14ac:dyDescent="0.25">
      <c r="A1094" s="1011">
        <v>94125630</v>
      </c>
      <c r="B1094" s="1011" t="s">
        <v>4290</v>
      </c>
      <c r="C1094" s="1011" t="s">
        <v>4291</v>
      </c>
      <c r="D1094" s="1011" t="s">
        <v>1125</v>
      </c>
      <c r="E1094" s="1011" t="s">
        <v>1588</v>
      </c>
      <c r="F1094" s="1011" t="s">
        <v>1619</v>
      </c>
    </row>
    <row r="1095" spans="1:6" x14ac:dyDescent="0.25">
      <c r="A1095" s="1011">
        <v>14125405</v>
      </c>
      <c r="B1095" s="1011" t="s">
        <v>4292</v>
      </c>
      <c r="C1095" s="1011" t="s">
        <v>4293</v>
      </c>
      <c r="D1095" s="1011" t="s">
        <v>4294</v>
      </c>
      <c r="E1095" s="1011" t="s">
        <v>1612</v>
      </c>
      <c r="F1095" s="1011" t="s">
        <v>4295</v>
      </c>
    </row>
    <row r="1096" spans="1:6" x14ac:dyDescent="0.25">
      <c r="A1096" s="1011">
        <v>34124404</v>
      </c>
      <c r="B1096" s="1011" t="s">
        <v>4296</v>
      </c>
      <c r="C1096" s="1011" t="s">
        <v>4297</v>
      </c>
      <c r="D1096" s="1011" t="s">
        <v>1605</v>
      </c>
      <c r="E1096" s="1011" t="s">
        <v>1593</v>
      </c>
      <c r="F1096" s="1011" t="s">
        <v>1606</v>
      </c>
    </row>
    <row r="1097" spans="1:6" x14ac:dyDescent="0.25">
      <c r="A1097" s="1011">
        <v>54125679</v>
      </c>
      <c r="B1097" s="1011" t="s">
        <v>4298</v>
      </c>
      <c r="C1097" s="1011" t="s">
        <v>4299</v>
      </c>
      <c r="D1097" s="1011" t="s">
        <v>2662</v>
      </c>
      <c r="E1097" s="1011" t="s">
        <v>1588</v>
      </c>
      <c r="F1097" s="1011" t="s">
        <v>2663</v>
      </c>
    </row>
    <row r="1098" spans="1:6" x14ac:dyDescent="0.25">
      <c r="A1098" s="1011">
        <v>64124043</v>
      </c>
      <c r="B1098" s="1011" t="s">
        <v>4300</v>
      </c>
      <c r="C1098" s="1011" t="s">
        <v>4301</v>
      </c>
      <c r="D1098" s="1011" t="s">
        <v>2613</v>
      </c>
      <c r="E1098" s="1011" t="s">
        <v>1593</v>
      </c>
      <c r="F1098" s="1011" t="s">
        <v>1447</v>
      </c>
    </row>
    <row r="1099" spans="1:6" x14ac:dyDescent="0.25">
      <c r="A1099" s="1011">
        <v>94124591</v>
      </c>
      <c r="B1099" s="1011" t="s">
        <v>4302</v>
      </c>
      <c r="C1099" s="1011" t="s">
        <v>2492</v>
      </c>
      <c r="D1099" s="1011" t="s">
        <v>1599</v>
      </c>
      <c r="E1099" s="1011" t="s">
        <v>1593</v>
      </c>
      <c r="F1099" s="1011" t="s">
        <v>1377</v>
      </c>
    </row>
    <row r="1100" spans="1:6" x14ac:dyDescent="0.25">
      <c r="A1100" s="1011">
        <v>34123539</v>
      </c>
      <c r="B1100" s="1011" t="s">
        <v>4303</v>
      </c>
      <c r="C1100" s="1011" t="s">
        <v>4304</v>
      </c>
      <c r="D1100" s="1011" t="s">
        <v>1127</v>
      </c>
      <c r="E1100" s="1011" t="s">
        <v>1593</v>
      </c>
      <c r="F1100" s="1011" t="s">
        <v>1449</v>
      </c>
    </row>
    <row r="1101" spans="1:6" x14ac:dyDescent="0.25">
      <c r="A1101" s="1011">
        <v>14124192</v>
      </c>
      <c r="B1101" s="1011" t="s">
        <v>4305</v>
      </c>
      <c r="C1101" s="1011" t="s">
        <v>4306</v>
      </c>
      <c r="D1101" s="1011" t="s">
        <v>1702</v>
      </c>
      <c r="E1101" s="1011" t="s">
        <v>1593</v>
      </c>
      <c r="F1101" s="1011" t="s">
        <v>1703</v>
      </c>
    </row>
    <row r="1102" spans="1:6" x14ac:dyDescent="0.25">
      <c r="A1102" s="1011">
        <v>94257631</v>
      </c>
      <c r="B1102" s="1011" t="s">
        <v>4307</v>
      </c>
      <c r="C1102" s="1011" t="s">
        <v>4308</v>
      </c>
      <c r="D1102" s="1011" t="s">
        <v>1732</v>
      </c>
      <c r="E1102" s="1011" t="s">
        <v>1588</v>
      </c>
      <c r="F1102" s="1011" t="s">
        <v>1369</v>
      </c>
    </row>
    <row r="1103" spans="1:6" x14ac:dyDescent="0.25">
      <c r="A1103" s="1011">
        <v>44125516</v>
      </c>
      <c r="B1103" s="1011" t="s">
        <v>4309</v>
      </c>
      <c r="C1103" s="1011" t="s">
        <v>4310</v>
      </c>
      <c r="D1103" s="1011" t="s">
        <v>2871</v>
      </c>
      <c r="E1103" s="1011" t="s">
        <v>1588</v>
      </c>
      <c r="F1103" s="1011" t="s">
        <v>2872</v>
      </c>
    </row>
    <row r="1104" spans="1:6" x14ac:dyDescent="0.25">
      <c r="A1104" s="1011">
        <v>54124078</v>
      </c>
      <c r="B1104" s="1011" t="s">
        <v>4311</v>
      </c>
      <c r="C1104" s="1011" t="s">
        <v>4312</v>
      </c>
      <c r="D1104" s="1011" t="s">
        <v>1857</v>
      </c>
      <c r="E1104" s="1011" t="s">
        <v>1593</v>
      </c>
      <c r="F1104" s="1011" t="s">
        <v>1858</v>
      </c>
    </row>
    <row r="1105" spans="1:6" x14ac:dyDescent="0.25">
      <c r="A1105" s="1011">
        <v>34125195</v>
      </c>
      <c r="B1105" s="1011" t="s">
        <v>4313</v>
      </c>
      <c r="C1105" s="1011" t="s">
        <v>4314</v>
      </c>
      <c r="D1105" s="1011" t="s">
        <v>1959</v>
      </c>
      <c r="E1105" s="1011" t="s">
        <v>1583</v>
      </c>
      <c r="F1105" s="1011" t="s">
        <v>1960</v>
      </c>
    </row>
    <row r="1106" spans="1:6" x14ac:dyDescent="0.25">
      <c r="A1106" s="1011">
        <v>14126106</v>
      </c>
      <c r="B1106" s="1011" t="s">
        <v>4315</v>
      </c>
      <c r="C1106" s="1011" t="s">
        <v>4316</v>
      </c>
      <c r="D1106" s="1011" t="s">
        <v>4317</v>
      </c>
      <c r="E1106" s="1011" t="s">
        <v>1588</v>
      </c>
      <c r="F1106" s="1011" t="s">
        <v>4318</v>
      </c>
    </row>
    <row r="1107" spans="1:6" x14ac:dyDescent="0.25">
      <c r="A1107" s="1011">
        <v>34124172</v>
      </c>
      <c r="B1107" s="1011" t="s">
        <v>4319</v>
      </c>
      <c r="C1107" s="1011" t="s">
        <v>3578</v>
      </c>
      <c r="D1107" s="1011" t="s">
        <v>1127</v>
      </c>
      <c r="E1107" s="1011" t="s">
        <v>1593</v>
      </c>
      <c r="F1107" s="1011" t="s">
        <v>1375</v>
      </c>
    </row>
    <row r="1108" spans="1:6" x14ac:dyDescent="0.25">
      <c r="A1108" s="1011">
        <v>44125367</v>
      </c>
      <c r="B1108" s="1011" t="s">
        <v>4320</v>
      </c>
      <c r="C1108" s="1011" t="s">
        <v>4321</v>
      </c>
      <c r="D1108" s="1011" t="s">
        <v>1125</v>
      </c>
      <c r="E1108" s="1011" t="s">
        <v>1588</v>
      </c>
      <c r="F1108" s="1011" t="s">
        <v>1421</v>
      </c>
    </row>
    <row r="1109" spans="1:6" x14ac:dyDescent="0.25">
      <c r="A1109" s="1011">
        <v>34123687</v>
      </c>
      <c r="B1109" s="1011" t="s">
        <v>4322</v>
      </c>
      <c r="C1109" s="1011" t="s">
        <v>4323</v>
      </c>
      <c r="D1109" s="1011" t="s">
        <v>1127</v>
      </c>
      <c r="E1109" s="1011" t="s">
        <v>1593</v>
      </c>
      <c r="F1109" s="1011" t="s">
        <v>1449</v>
      </c>
    </row>
    <row r="1110" spans="1:6" x14ac:dyDescent="0.25">
      <c r="A1110" s="1011">
        <v>44125664</v>
      </c>
      <c r="B1110" s="1011" t="s">
        <v>4324</v>
      </c>
      <c r="C1110" s="1011" t="s">
        <v>4325</v>
      </c>
      <c r="D1110" s="1011" t="s">
        <v>2178</v>
      </c>
      <c r="E1110" s="1011" t="s">
        <v>1588</v>
      </c>
      <c r="F1110" s="1011" t="s">
        <v>2179</v>
      </c>
    </row>
    <row r="1111" spans="1:6" x14ac:dyDescent="0.25">
      <c r="A1111" s="1011">
        <v>24224529</v>
      </c>
      <c r="B1111" s="1011" t="s">
        <v>4326</v>
      </c>
      <c r="C1111" s="1011" t="s">
        <v>2677</v>
      </c>
      <c r="D1111" s="1011" t="s">
        <v>2678</v>
      </c>
      <c r="E1111" s="1011" t="s">
        <v>1593</v>
      </c>
      <c r="F1111" s="1011" t="s">
        <v>2679</v>
      </c>
    </row>
    <row r="1112" spans="1:6" x14ac:dyDescent="0.25">
      <c r="A1112" s="1011">
        <v>74124835</v>
      </c>
      <c r="B1112" s="1011" t="s">
        <v>4327</v>
      </c>
      <c r="C1112" s="1011" t="s">
        <v>4328</v>
      </c>
      <c r="D1112" s="1011" t="s">
        <v>2242</v>
      </c>
      <c r="E1112" s="1011" t="s">
        <v>1583</v>
      </c>
      <c r="F1112" s="1011" t="s">
        <v>2243</v>
      </c>
    </row>
    <row r="1113" spans="1:6" x14ac:dyDescent="0.25">
      <c r="A1113" s="1011">
        <v>24155335</v>
      </c>
      <c r="B1113" s="1011" t="s">
        <v>4329</v>
      </c>
      <c r="C1113" s="1011" t="s">
        <v>4330</v>
      </c>
      <c r="D1113" s="1011" t="s">
        <v>2413</v>
      </c>
      <c r="E1113" s="1011" t="s">
        <v>1612</v>
      </c>
      <c r="F1113" s="1011" t="s">
        <v>2414</v>
      </c>
    </row>
    <row r="1114" spans="1:6" x14ac:dyDescent="0.25">
      <c r="A1114" s="1011">
        <v>4124111</v>
      </c>
      <c r="B1114" s="1011" t="s">
        <v>4331</v>
      </c>
      <c r="C1114" s="1011" t="s">
        <v>4332</v>
      </c>
      <c r="D1114" s="1011" t="s">
        <v>1127</v>
      </c>
      <c r="E1114" s="1011" t="s">
        <v>1593</v>
      </c>
      <c r="F1114" s="1011" t="s">
        <v>1375</v>
      </c>
    </row>
    <row r="1115" spans="1:6" x14ac:dyDescent="0.25">
      <c r="A1115" s="1011">
        <v>94124674</v>
      </c>
      <c r="B1115" s="1011" t="s">
        <v>4333</v>
      </c>
      <c r="C1115" s="1011" t="s">
        <v>4334</v>
      </c>
      <c r="D1115" s="1011" t="s">
        <v>2752</v>
      </c>
      <c r="E1115" s="1011" t="s">
        <v>1593</v>
      </c>
      <c r="F1115" s="1011" t="s">
        <v>2753</v>
      </c>
    </row>
    <row r="1116" spans="1:6" x14ac:dyDescent="0.25">
      <c r="A1116" s="1011">
        <v>84143957</v>
      </c>
      <c r="B1116" s="1011" t="s">
        <v>4335</v>
      </c>
      <c r="C1116" s="1011" t="s">
        <v>4336</v>
      </c>
      <c r="D1116" s="1011" t="s">
        <v>2251</v>
      </c>
      <c r="E1116" s="1011" t="s">
        <v>1593</v>
      </c>
      <c r="F1116" s="1011" t="s">
        <v>2252</v>
      </c>
    </row>
    <row r="1117" spans="1:6" x14ac:dyDescent="0.25">
      <c r="A1117" s="1011">
        <v>24123614</v>
      </c>
      <c r="B1117" s="1011" t="s">
        <v>4337</v>
      </c>
      <c r="C1117" s="1011" t="s">
        <v>4338</v>
      </c>
      <c r="D1117" s="1011" t="s">
        <v>1767</v>
      </c>
      <c r="E1117" s="1011" t="s">
        <v>1593</v>
      </c>
      <c r="F1117" s="1011" t="s">
        <v>1419</v>
      </c>
    </row>
    <row r="1118" spans="1:6" x14ac:dyDescent="0.25">
      <c r="A1118" s="1011">
        <v>14273809</v>
      </c>
      <c r="B1118" s="1011" t="s">
        <v>4339</v>
      </c>
      <c r="C1118" s="1011" t="s">
        <v>4127</v>
      </c>
      <c r="D1118" s="1011" t="s">
        <v>4128</v>
      </c>
      <c r="E1118" s="1011" t="s">
        <v>1588</v>
      </c>
      <c r="F1118" s="1011" t="s">
        <v>4129</v>
      </c>
    </row>
    <row r="1119" spans="1:6" x14ac:dyDescent="0.25">
      <c r="A1119" s="1011">
        <v>24237356</v>
      </c>
      <c r="B1119" s="1011" t="s">
        <v>4340</v>
      </c>
      <c r="C1119" s="1011" t="s">
        <v>4341</v>
      </c>
      <c r="D1119" s="1011" t="s">
        <v>3993</v>
      </c>
      <c r="E1119" s="1011" t="s">
        <v>1593</v>
      </c>
      <c r="F1119" s="1011" t="s">
        <v>3994</v>
      </c>
    </row>
    <row r="1120" spans="1:6" x14ac:dyDescent="0.25">
      <c r="A1120" s="1011">
        <v>84125459</v>
      </c>
      <c r="B1120" s="1011" t="s">
        <v>4342</v>
      </c>
      <c r="C1120" s="1011" t="s">
        <v>4343</v>
      </c>
      <c r="D1120" s="1011" t="s">
        <v>3054</v>
      </c>
      <c r="E1120" s="1011" t="s">
        <v>1588</v>
      </c>
      <c r="F1120" s="1011" t="s">
        <v>3055</v>
      </c>
    </row>
    <row r="1121" spans="1:6" x14ac:dyDescent="0.25">
      <c r="A1121" s="1011">
        <v>94125754</v>
      </c>
      <c r="B1121" s="1011" t="s">
        <v>4344</v>
      </c>
      <c r="C1121" s="1011" t="s">
        <v>4345</v>
      </c>
      <c r="D1121" s="1011" t="s">
        <v>4346</v>
      </c>
      <c r="E1121" s="1011" t="s">
        <v>1588</v>
      </c>
      <c r="F1121" s="1011" t="s">
        <v>4347</v>
      </c>
    </row>
    <row r="1122" spans="1:6" x14ac:dyDescent="0.25">
      <c r="A1122" s="1011">
        <v>74124124</v>
      </c>
      <c r="B1122" s="1011" t="s">
        <v>4348</v>
      </c>
      <c r="C1122" s="1011" t="s">
        <v>2968</v>
      </c>
      <c r="D1122" s="1011" t="s">
        <v>2969</v>
      </c>
      <c r="E1122" s="1011" t="s">
        <v>1583</v>
      </c>
      <c r="F1122" s="1011" t="s">
        <v>1451</v>
      </c>
    </row>
    <row r="1123" spans="1:6" x14ac:dyDescent="0.25">
      <c r="A1123" s="1011">
        <v>4123378</v>
      </c>
      <c r="B1123" s="1011" t="s">
        <v>4349</v>
      </c>
      <c r="C1123" s="1011" t="s">
        <v>4350</v>
      </c>
      <c r="D1123" s="1011" t="s">
        <v>1728</v>
      </c>
      <c r="E1123" s="1011" t="s">
        <v>1593</v>
      </c>
      <c r="F1123" s="1011" t="s">
        <v>1729</v>
      </c>
    </row>
    <row r="1124" spans="1:6" x14ac:dyDescent="0.25">
      <c r="A1124" s="1011">
        <v>74131467</v>
      </c>
      <c r="B1124" s="1011" t="s">
        <v>4351</v>
      </c>
      <c r="C1124" s="1011" t="s">
        <v>4352</v>
      </c>
      <c r="D1124" s="1011" t="s">
        <v>1725</v>
      </c>
      <c r="E1124" s="1011" t="s">
        <v>1593</v>
      </c>
      <c r="F1124" s="1011" t="s">
        <v>1413</v>
      </c>
    </row>
    <row r="1125" spans="1:6" x14ac:dyDescent="0.25">
      <c r="A1125" s="1011">
        <v>4125399</v>
      </c>
      <c r="B1125" s="1011" t="s">
        <v>4353</v>
      </c>
      <c r="C1125" s="1011" t="s">
        <v>4354</v>
      </c>
      <c r="D1125" s="1011" t="s">
        <v>1129</v>
      </c>
      <c r="E1125" s="1011" t="s">
        <v>1612</v>
      </c>
      <c r="F1125" s="1011" t="s">
        <v>4355</v>
      </c>
    </row>
    <row r="1126" spans="1:6" x14ac:dyDescent="0.25">
      <c r="A1126" s="1011">
        <v>24125189</v>
      </c>
      <c r="B1126" s="1011" t="s">
        <v>4356</v>
      </c>
      <c r="C1126" s="1011" t="s">
        <v>4357</v>
      </c>
      <c r="D1126" s="1011" t="s">
        <v>1888</v>
      </c>
      <c r="E1126" s="1011" t="s">
        <v>1583</v>
      </c>
      <c r="F1126" s="1011" t="s">
        <v>1889</v>
      </c>
    </row>
    <row r="1127" spans="1:6" x14ac:dyDescent="0.25">
      <c r="A1127" s="1011">
        <v>64124860</v>
      </c>
      <c r="B1127" s="1011" t="s">
        <v>4358</v>
      </c>
      <c r="C1127" s="1011" t="s">
        <v>4359</v>
      </c>
      <c r="D1127" s="1011" t="s">
        <v>1880</v>
      </c>
      <c r="E1127" s="1011" t="s">
        <v>1583</v>
      </c>
      <c r="F1127" s="1011" t="s">
        <v>1881</v>
      </c>
    </row>
    <row r="1128" spans="1:6" x14ac:dyDescent="0.25">
      <c r="A1128" s="1011">
        <v>84254341</v>
      </c>
      <c r="B1128" s="1011" t="s">
        <v>4360</v>
      </c>
      <c r="C1128" s="1011" t="s">
        <v>4361</v>
      </c>
      <c r="D1128" s="1011" t="s">
        <v>3340</v>
      </c>
      <c r="E1128" s="1011" t="s">
        <v>1588</v>
      </c>
      <c r="F1128" s="1011" t="s">
        <v>1437</v>
      </c>
    </row>
    <row r="1129" spans="1:6" x14ac:dyDescent="0.25">
      <c r="A1129" s="1011">
        <v>14123632</v>
      </c>
      <c r="B1129" s="1011" t="s">
        <v>4362</v>
      </c>
      <c r="C1129" s="1011" t="s">
        <v>4363</v>
      </c>
      <c r="D1129" s="1011" t="s">
        <v>1685</v>
      </c>
      <c r="E1129" s="1011" t="s">
        <v>1593</v>
      </c>
      <c r="F1129" s="1011" t="s">
        <v>1469</v>
      </c>
    </row>
    <row r="1130" spans="1:6" x14ac:dyDescent="0.25">
      <c r="A1130" s="1011">
        <v>14124069</v>
      </c>
      <c r="B1130" s="1011" t="s">
        <v>4364</v>
      </c>
      <c r="C1130" s="1011" t="s">
        <v>4365</v>
      </c>
      <c r="D1130" s="1011" t="s">
        <v>3993</v>
      </c>
      <c r="E1130" s="1011" t="s">
        <v>1593</v>
      </c>
      <c r="F1130" s="1011" t="s">
        <v>3994</v>
      </c>
    </row>
    <row r="1131" spans="1:6" x14ac:dyDescent="0.25">
      <c r="A1131" s="1011">
        <v>24137143</v>
      </c>
      <c r="B1131" s="1011" t="s">
        <v>4366</v>
      </c>
      <c r="C1131" s="1011" t="s">
        <v>4367</v>
      </c>
      <c r="D1131" s="1011" t="s">
        <v>1127</v>
      </c>
      <c r="E1131" s="1011" t="s">
        <v>1593</v>
      </c>
      <c r="F1131" s="1011" t="s">
        <v>1395</v>
      </c>
    </row>
    <row r="1132" spans="1:6" x14ac:dyDescent="0.25">
      <c r="A1132" s="1011">
        <v>84159540</v>
      </c>
      <c r="B1132" s="1011" t="s">
        <v>4368</v>
      </c>
      <c r="C1132" s="1011" t="s">
        <v>4369</v>
      </c>
      <c r="D1132" s="1011" t="s">
        <v>2686</v>
      </c>
      <c r="E1132" s="1011" t="s">
        <v>1583</v>
      </c>
      <c r="F1132" s="1011" t="s">
        <v>2687</v>
      </c>
    </row>
    <row r="1133" spans="1:6" x14ac:dyDescent="0.25">
      <c r="A1133" s="1011">
        <v>74124611</v>
      </c>
      <c r="B1133" s="1011" t="s">
        <v>4370</v>
      </c>
      <c r="C1133" s="1011" t="s">
        <v>4371</v>
      </c>
      <c r="D1133" s="1011" t="s">
        <v>1815</v>
      </c>
      <c r="E1133" s="1011" t="s">
        <v>1593</v>
      </c>
      <c r="F1133" s="1011" t="s">
        <v>1816</v>
      </c>
    </row>
    <row r="1134" spans="1:6" x14ac:dyDescent="0.25">
      <c r="A1134" s="1011">
        <v>94239787</v>
      </c>
      <c r="B1134" s="1011" t="s">
        <v>4372</v>
      </c>
      <c r="C1134" s="1011" t="s">
        <v>4373</v>
      </c>
      <c r="D1134" s="1011" t="s">
        <v>4374</v>
      </c>
      <c r="E1134" s="1011" t="s">
        <v>1593</v>
      </c>
      <c r="F1134" s="1011" t="s">
        <v>4375</v>
      </c>
    </row>
    <row r="1135" spans="1:6" x14ac:dyDescent="0.25">
      <c r="A1135" s="1011">
        <v>54124029</v>
      </c>
      <c r="B1135" s="1011" t="s">
        <v>4376</v>
      </c>
      <c r="C1135" s="1011" t="s">
        <v>4377</v>
      </c>
      <c r="D1135" s="1011" t="s">
        <v>2539</v>
      </c>
      <c r="E1135" s="1011" t="s">
        <v>1593</v>
      </c>
      <c r="F1135" s="1011" t="s">
        <v>2540</v>
      </c>
    </row>
    <row r="1136" spans="1:6" x14ac:dyDescent="0.25">
      <c r="A1136" s="1011">
        <v>74163833</v>
      </c>
      <c r="B1136" s="1011" t="s">
        <v>4378</v>
      </c>
      <c r="C1136" s="1011" t="s">
        <v>4379</v>
      </c>
      <c r="D1136" s="1011" t="s">
        <v>1909</v>
      </c>
      <c r="E1136" s="1011" t="s">
        <v>1588</v>
      </c>
      <c r="F1136" s="1011" t="s">
        <v>1910</v>
      </c>
    </row>
    <row r="1137" spans="1:6" x14ac:dyDescent="0.25">
      <c r="A1137" s="1011">
        <v>84125822</v>
      </c>
      <c r="B1137" s="1011" t="s">
        <v>4380</v>
      </c>
      <c r="C1137" s="1011" t="s">
        <v>4381</v>
      </c>
      <c r="D1137" s="1011" t="s">
        <v>4382</v>
      </c>
      <c r="E1137" s="1011" t="s">
        <v>1588</v>
      </c>
      <c r="F1137" s="1011" t="s">
        <v>4383</v>
      </c>
    </row>
    <row r="1138" spans="1:6" x14ac:dyDescent="0.25">
      <c r="A1138" s="1011">
        <v>54125570</v>
      </c>
      <c r="B1138" s="1011" t="s">
        <v>4384</v>
      </c>
      <c r="C1138" s="1011" t="s">
        <v>4385</v>
      </c>
      <c r="D1138" s="1011" t="s">
        <v>1125</v>
      </c>
      <c r="E1138" s="1011" t="s">
        <v>1588</v>
      </c>
      <c r="F1138" s="1011" t="s">
        <v>1770</v>
      </c>
    </row>
    <row r="1139" spans="1:6" x14ac:dyDescent="0.25">
      <c r="A1139" s="1011">
        <v>4125365</v>
      </c>
      <c r="B1139" s="1011" t="s">
        <v>4386</v>
      </c>
      <c r="C1139" s="1011" t="s">
        <v>4387</v>
      </c>
      <c r="D1139" s="1011" t="s">
        <v>1125</v>
      </c>
      <c r="E1139" s="1011" t="s">
        <v>1588</v>
      </c>
      <c r="F1139" s="1011" t="s">
        <v>1421</v>
      </c>
    </row>
    <row r="1140" spans="1:6" x14ac:dyDescent="0.25">
      <c r="A1140" s="1011">
        <v>54123674</v>
      </c>
      <c r="B1140" s="1011" t="s">
        <v>4388</v>
      </c>
      <c r="C1140" s="1011" t="s">
        <v>4389</v>
      </c>
      <c r="D1140" s="1011" t="s">
        <v>2216</v>
      </c>
      <c r="E1140" s="1011" t="s">
        <v>1593</v>
      </c>
      <c r="F1140" s="1011" t="s">
        <v>2217</v>
      </c>
    </row>
    <row r="1141" spans="1:6" x14ac:dyDescent="0.25">
      <c r="A1141" s="1011">
        <v>64125842</v>
      </c>
      <c r="B1141" s="1011" t="s">
        <v>4390</v>
      </c>
      <c r="C1141" s="1011" t="s">
        <v>4391</v>
      </c>
      <c r="D1141" s="1011" t="s">
        <v>2742</v>
      </c>
      <c r="E1141" s="1011" t="s">
        <v>1588</v>
      </c>
      <c r="F1141" s="1011" t="s">
        <v>2743</v>
      </c>
    </row>
    <row r="1142" spans="1:6" x14ac:dyDescent="0.25">
      <c r="A1142" s="1011">
        <v>34123653</v>
      </c>
      <c r="B1142" s="1011" t="s">
        <v>4392</v>
      </c>
      <c r="C1142" s="1011" t="s">
        <v>4393</v>
      </c>
      <c r="D1142" s="1011" t="s">
        <v>1685</v>
      </c>
      <c r="E1142" s="1011" t="s">
        <v>1593</v>
      </c>
      <c r="F1142" s="1011" t="s">
        <v>1469</v>
      </c>
    </row>
    <row r="1143" spans="1:6" x14ac:dyDescent="0.25">
      <c r="A1143" s="1011">
        <v>94273083</v>
      </c>
      <c r="B1143" s="1011" t="s">
        <v>4394</v>
      </c>
      <c r="C1143" s="1011" t="s">
        <v>4395</v>
      </c>
      <c r="D1143" s="1011" t="s">
        <v>3751</v>
      </c>
      <c r="E1143" s="1011" t="s">
        <v>1583</v>
      </c>
      <c r="F1143" s="1011" t="s">
        <v>3752</v>
      </c>
    </row>
    <row r="1144" spans="1:6" x14ac:dyDescent="0.25">
      <c r="A1144" s="1011">
        <v>4125548</v>
      </c>
      <c r="B1144" s="1011" t="s">
        <v>4396</v>
      </c>
      <c r="C1144" s="1011" t="s">
        <v>4397</v>
      </c>
      <c r="D1144" s="1011" t="s">
        <v>1125</v>
      </c>
      <c r="E1144" s="1011" t="s">
        <v>1588</v>
      </c>
      <c r="F1144" s="1011" t="s">
        <v>1421</v>
      </c>
    </row>
    <row r="1145" spans="1:6" x14ac:dyDescent="0.25">
      <c r="A1145" s="1011">
        <v>64140411</v>
      </c>
      <c r="B1145" s="1011" t="s">
        <v>1871</v>
      </c>
      <c r="C1145" s="1011" t="s">
        <v>2274</v>
      </c>
      <c r="D1145" s="1011" t="s">
        <v>2275</v>
      </c>
      <c r="E1145" s="1011" t="s">
        <v>1593</v>
      </c>
      <c r="F1145" s="1011" t="s">
        <v>2276</v>
      </c>
    </row>
    <row r="1146" spans="1:6" x14ac:dyDescent="0.25">
      <c r="A1146" s="1011">
        <v>84124064</v>
      </c>
      <c r="B1146" s="1011" t="s">
        <v>4398</v>
      </c>
      <c r="C1146" s="1011" t="s">
        <v>4399</v>
      </c>
      <c r="D1146" s="1011" t="s">
        <v>1127</v>
      </c>
      <c r="E1146" s="1011" t="s">
        <v>1593</v>
      </c>
      <c r="F1146" s="1011" t="s">
        <v>1383</v>
      </c>
    </row>
    <row r="1147" spans="1:6" x14ac:dyDescent="0.25">
      <c r="A1147" s="1011">
        <v>34181123</v>
      </c>
      <c r="B1147" s="1011" t="s">
        <v>4400</v>
      </c>
      <c r="C1147" s="1011" t="s">
        <v>4401</v>
      </c>
      <c r="D1147" s="1011" t="s">
        <v>65</v>
      </c>
      <c r="E1147" s="1011" t="s">
        <v>1583</v>
      </c>
      <c r="F1147" s="1011" t="s">
        <v>3417</v>
      </c>
    </row>
    <row r="1148" spans="1:6" x14ac:dyDescent="0.25">
      <c r="A1148" s="1011">
        <v>44224657</v>
      </c>
      <c r="B1148" s="1011" t="s">
        <v>4402</v>
      </c>
      <c r="C1148" s="1011" t="s">
        <v>4403</v>
      </c>
      <c r="D1148" s="1011" t="s">
        <v>1127</v>
      </c>
      <c r="E1148" s="1011" t="s">
        <v>1593</v>
      </c>
      <c r="F1148" s="1011" t="s">
        <v>1383</v>
      </c>
    </row>
    <row r="1149" spans="1:6" x14ac:dyDescent="0.25">
      <c r="A1149" s="1011">
        <v>34123885</v>
      </c>
      <c r="B1149" s="1011" t="s">
        <v>4404</v>
      </c>
      <c r="C1149" s="1011" t="s">
        <v>4405</v>
      </c>
      <c r="D1149" s="1011" t="s">
        <v>1602</v>
      </c>
      <c r="E1149" s="1011" t="s">
        <v>1593</v>
      </c>
      <c r="F1149" s="1011" t="s">
        <v>1417</v>
      </c>
    </row>
    <row r="1150" spans="1:6" x14ac:dyDescent="0.25">
      <c r="A1150" s="1011">
        <v>44125417</v>
      </c>
      <c r="B1150" s="1011" t="s">
        <v>4261</v>
      </c>
      <c r="C1150" s="1011" t="s">
        <v>4406</v>
      </c>
      <c r="D1150" s="1011" t="s">
        <v>1796</v>
      </c>
      <c r="E1150" s="1011" t="s">
        <v>1588</v>
      </c>
      <c r="F1150" s="1011" t="s">
        <v>1797</v>
      </c>
    </row>
    <row r="1151" spans="1:6" x14ac:dyDescent="0.25">
      <c r="A1151" s="1011">
        <v>94124518</v>
      </c>
      <c r="B1151" s="1011" t="s">
        <v>4407</v>
      </c>
      <c r="C1151" s="1011" t="s">
        <v>4408</v>
      </c>
      <c r="D1151" s="1011" t="s">
        <v>1582</v>
      </c>
      <c r="E1151" s="1011" t="s">
        <v>1583</v>
      </c>
      <c r="F1151" s="1011" t="s">
        <v>1584</v>
      </c>
    </row>
    <row r="1152" spans="1:6" x14ac:dyDescent="0.25">
      <c r="A1152" s="1011">
        <v>64125495</v>
      </c>
      <c r="B1152" s="1011" t="s">
        <v>4409</v>
      </c>
      <c r="C1152" s="1011" t="s">
        <v>4410</v>
      </c>
      <c r="D1152" s="1011" t="s">
        <v>4411</v>
      </c>
      <c r="E1152" s="1011" t="s">
        <v>1588</v>
      </c>
      <c r="F1152" s="1011" t="s">
        <v>4412</v>
      </c>
    </row>
    <row r="1153" spans="1:6" x14ac:dyDescent="0.25">
      <c r="A1153" s="1011">
        <v>44246403</v>
      </c>
      <c r="B1153" s="1011" t="s">
        <v>4413</v>
      </c>
      <c r="C1153" s="1011" t="s">
        <v>4414</v>
      </c>
      <c r="D1153" s="1011" t="s">
        <v>1756</v>
      </c>
      <c r="E1153" s="1011" t="s">
        <v>1593</v>
      </c>
      <c r="F1153" s="1011" t="s">
        <v>1429</v>
      </c>
    </row>
    <row r="1154" spans="1:6" x14ac:dyDescent="0.25">
      <c r="A1154" s="1011">
        <v>14125660</v>
      </c>
      <c r="B1154" s="1011" t="s">
        <v>4415</v>
      </c>
      <c r="C1154" s="1011" t="s">
        <v>4416</v>
      </c>
      <c r="D1154" s="1011" t="s">
        <v>72</v>
      </c>
      <c r="E1154" s="1011" t="s">
        <v>1612</v>
      </c>
      <c r="F1154" s="1011" t="s">
        <v>1739</v>
      </c>
    </row>
    <row r="1155" spans="1:6" x14ac:dyDescent="0.25">
      <c r="A1155" s="1011">
        <v>54157433</v>
      </c>
      <c r="B1155" s="1011" t="s">
        <v>4417</v>
      </c>
      <c r="C1155" s="1011" t="s">
        <v>4418</v>
      </c>
      <c r="D1155" s="1011" t="s">
        <v>2785</v>
      </c>
      <c r="E1155" s="1011" t="s">
        <v>1593</v>
      </c>
      <c r="F1155" s="1011" t="s">
        <v>1351</v>
      </c>
    </row>
    <row r="1156" spans="1:6" x14ac:dyDescent="0.25">
      <c r="A1156" s="1011">
        <v>94129350</v>
      </c>
      <c r="B1156" s="1011" t="s">
        <v>4419</v>
      </c>
      <c r="C1156" s="1011" t="s">
        <v>4420</v>
      </c>
      <c r="D1156" s="1011" t="s">
        <v>4048</v>
      </c>
      <c r="E1156" s="1011" t="s">
        <v>1593</v>
      </c>
      <c r="F1156" s="1011" t="s">
        <v>4049</v>
      </c>
    </row>
    <row r="1157" spans="1:6" x14ac:dyDescent="0.25">
      <c r="A1157" s="1011">
        <v>74125469</v>
      </c>
      <c r="B1157" s="1011" t="s">
        <v>4421</v>
      </c>
      <c r="C1157" s="1011" t="s">
        <v>4422</v>
      </c>
      <c r="D1157" s="1011" t="s">
        <v>1125</v>
      </c>
      <c r="E1157" s="1011" t="s">
        <v>1588</v>
      </c>
      <c r="F1157" s="1011" t="s">
        <v>1770</v>
      </c>
    </row>
    <row r="1158" spans="1:6" x14ac:dyDescent="0.25">
      <c r="A1158" s="1011">
        <v>4125647</v>
      </c>
      <c r="B1158" s="1011" t="s">
        <v>4423</v>
      </c>
      <c r="C1158" s="1011" t="s">
        <v>4424</v>
      </c>
      <c r="D1158" s="1011" t="s">
        <v>72</v>
      </c>
      <c r="E1158" s="1011" t="s">
        <v>1612</v>
      </c>
      <c r="F1158" s="1011" t="s">
        <v>2111</v>
      </c>
    </row>
    <row r="1159" spans="1:6" x14ac:dyDescent="0.25">
      <c r="A1159" s="1011">
        <v>34125963</v>
      </c>
      <c r="B1159" s="1011" t="s">
        <v>4425</v>
      </c>
      <c r="C1159" s="1011" t="s">
        <v>4426</v>
      </c>
      <c r="D1159" s="1011" t="s">
        <v>3697</v>
      </c>
      <c r="E1159" s="1011" t="s">
        <v>1588</v>
      </c>
      <c r="F1159" s="1011" t="s">
        <v>3698</v>
      </c>
    </row>
    <row r="1160" spans="1:6" x14ac:dyDescent="0.25">
      <c r="A1160" s="1011">
        <v>14258099</v>
      </c>
      <c r="B1160" s="1011" t="s">
        <v>4427</v>
      </c>
      <c r="C1160" s="1011" t="s">
        <v>1938</v>
      </c>
      <c r="D1160" s="1011" t="s">
        <v>1939</v>
      </c>
      <c r="E1160" s="1011" t="s">
        <v>1583</v>
      </c>
      <c r="F1160" s="1011" t="s">
        <v>1940</v>
      </c>
    </row>
    <row r="1161" spans="1:6" x14ac:dyDescent="0.25">
      <c r="A1161" s="1011">
        <v>14125470</v>
      </c>
      <c r="B1161" s="1011" t="s">
        <v>4428</v>
      </c>
      <c r="C1161" s="1011" t="s">
        <v>4429</v>
      </c>
      <c r="D1161" s="1011" t="s">
        <v>3262</v>
      </c>
      <c r="E1161" s="1011" t="s">
        <v>1588</v>
      </c>
      <c r="F1161" s="1011" t="s">
        <v>3263</v>
      </c>
    </row>
    <row r="1162" spans="1:6" x14ac:dyDescent="0.25">
      <c r="A1162" s="1011">
        <v>14125231</v>
      </c>
      <c r="B1162" s="1011" t="s">
        <v>4430</v>
      </c>
      <c r="C1162" s="1011" t="s">
        <v>4094</v>
      </c>
      <c r="D1162" s="1011" t="s">
        <v>1125</v>
      </c>
      <c r="E1162" s="1011" t="s">
        <v>1588</v>
      </c>
      <c r="F1162" s="1011" t="s">
        <v>1619</v>
      </c>
    </row>
    <row r="1163" spans="1:6" x14ac:dyDescent="0.25">
      <c r="A1163" s="1011">
        <v>24124810</v>
      </c>
      <c r="B1163" s="1011" t="s">
        <v>4431</v>
      </c>
      <c r="C1163" s="1011" t="s">
        <v>4432</v>
      </c>
      <c r="D1163" s="1011" t="s">
        <v>2969</v>
      </c>
      <c r="E1163" s="1011" t="s">
        <v>1583</v>
      </c>
      <c r="F1163" s="1011" t="s">
        <v>1451</v>
      </c>
    </row>
    <row r="1164" spans="1:6" x14ac:dyDescent="0.25">
      <c r="A1164" s="1011">
        <v>4123865</v>
      </c>
      <c r="B1164" s="1011" t="s">
        <v>4433</v>
      </c>
      <c r="C1164" s="1011" t="s">
        <v>4434</v>
      </c>
      <c r="D1164" s="1011" t="s">
        <v>4033</v>
      </c>
      <c r="E1164" s="1011" t="s">
        <v>1593</v>
      </c>
      <c r="F1164" s="1011" t="s">
        <v>4034</v>
      </c>
    </row>
    <row r="1165" spans="1:6" x14ac:dyDescent="0.25">
      <c r="A1165" s="1011">
        <v>94125432</v>
      </c>
      <c r="B1165" s="1011" t="s">
        <v>4435</v>
      </c>
      <c r="C1165" s="1011" t="s">
        <v>4436</v>
      </c>
      <c r="D1165" s="1011" t="s">
        <v>2228</v>
      </c>
      <c r="E1165" s="1011" t="s">
        <v>1588</v>
      </c>
      <c r="F1165" s="1011" t="s">
        <v>2229</v>
      </c>
    </row>
    <row r="1166" spans="1:6" x14ac:dyDescent="0.25">
      <c r="A1166" s="1011">
        <v>74123803</v>
      </c>
      <c r="B1166" s="1011" t="s">
        <v>4437</v>
      </c>
      <c r="C1166" s="1011" t="s">
        <v>4438</v>
      </c>
      <c r="D1166" s="1011" t="s">
        <v>1127</v>
      </c>
      <c r="E1166" s="1011" t="s">
        <v>1593</v>
      </c>
      <c r="F1166" s="1011" t="s">
        <v>1375</v>
      </c>
    </row>
    <row r="1167" spans="1:6" x14ac:dyDescent="0.25">
      <c r="A1167" s="1011">
        <v>44236198</v>
      </c>
      <c r="B1167" s="1011" t="s">
        <v>4439</v>
      </c>
      <c r="C1167" s="1011" t="s">
        <v>4440</v>
      </c>
      <c r="D1167" s="1011" t="s">
        <v>1725</v>
      </c>
      <c r="E1167" s="1011" t="s">
        <v>1593</v>
      </c>
      <c r="F1167" s="1011" t="s">
        <v>1413</v>
      </c>
    </row>
    <row r="1168" spans="1:6" x14ac:dyDescent="0.25">
      <c r="A1168" s="1011">
        <v>24125320</v>
      </c>
      <c r="B1168" s="1011" t="s">
        <v>4441</v>
      </c>
      <c r="C1168" s="1011" t="s">
        <v>4442</v>
      </c>
      <c r="D1168" s="1011" t="s">
        <v>4443</v>
      </c>
      <c r="E1168" s="1011" t="s">
        <v>1593</v>
      </c>
      <c r="F1168" s="1011" t="s">
        <v>4444</v>
      </c>
    </row>
    <row r="1169" spans="1:6" x14ac:dyDescent="0.25">
      <c r="A1169" s="1011">
        <v>24125031</v>
      </c>
      <c r="B1169" s="1011" t="s">
        <v>4445</v>
      </c>
      <c r="C1169" s="1011" t="s">
        <v>4446</v>
      </c>
      <c r="D1169" s="1011" t="s">
        <v>2275</v>
      </c>
      <c r="E1169" s="1011" t="s">
        <v>1593</v>
      </c>
      <c r="F1169" s="1011" t="s">
        <v>2276</v>
      </c>
    </row>
    <row r="1170" spans="1:6" x14ac:dyDescent="0.25">
      <c r="A1170" s="1011">
        <v>24123648</v>
      </c>
      <c r="B1170" s="1011" t="s">
        <v>4447</v>
      </c>
      <c r="C1170" s="1011" t="s">
        <v>4448</v>
      </c>
      <c r="D1170" s="1011" t="s">
        <v>1698</v>
      </c>
      <c r="E1170" s="1011" t="s">
        <v>1593</v>
      </c>
      <c r="F1170" s="1011" t="s">
        <v>1699</v>
      </c>
    </row>
    <row r="1171" spans="1:6" x14ac:dyDescent="0.25">
      <c r="A1171" s="1011">
        <v>34123752</v>
      </c>
      <c r="B1171" s="1011" t="s">
        <v>4449</v>
      </c>
      <c r="C1171" s="1011" t="s">
        <v>4450</v>
      </c>
      <c r="D1171" s="1011" t="s">
        <v>4048</v>
      </c>
      <c r="E1171" s="1011" t="s">
        <v>1593</v>
      </c>
      <c r="F1171" s="1011" t="s">
        <v>4049</v>
      </c>
    </row>
    <row r="1172" spans="1:6" x14ac:dyDescent="0.25">
      <c r="A1172" s="1011">
        <v>34125294</v>
      </c>
      <c r="B1172" s="1011" t="s">
        <v>4451</v>
      </c>
      <c r="C1172" s="1011" t="s">
        <v>4452</v>
      </c>
      <c r="D1172" s="1011" t="s">
        <v>1672</v>
      </c>
      <c r="E1172" s="1011" t="s">
        <v>1593</v>
      </c>
      <c r="F1172" s="1011" t="s">
        <v>1407</v>
      </c>
    </row>
    <row r="1173" spans="1:6" x14ac:dyDescent="0.25">
      <c r="A1173" s="1011">
        <v>84125772</v>
      </c>
      <c r="B1173" s="1011" t="s">
        <v>4453</v>
      </c>
      <c r="C1173" s="1011" t="s">
        <v>4454</v>
      </c>
      <c r="D1173" s="1011" t="s">
        <v>72</v>
      </c>
      <c r="E1173" s="1011" t="s">
        <v>1612</v>
      </c>
      <c r="F1173" s="1011" t="s">
        <v>4455</v>
      </c>
    </row>
    <row r="1174" spans="1:6" x14ac:dyDescent="0.25">
      <c r="A1174" s="1011">
        <v>14125462</v>
      </c>
      <c r="B1174" s="1011" t="s">
        <v>4456</v>
      </c>
      <c r="C1174" s="1011" t="s">
        <v>4457</v>
      </c>
      <c r="D1174" s="1011" t="s">
        <v>1979</v>
      </c>
      <c r="E1174" s="1011" t="s">
        <v>1588</v>
      </c>
      <c r="F1174" s="1011" t="s">
        <v>1980</v>
      </c>
    </row>
    <row r="1175" spans="1:6" x14ac:dyDescent="0.25">
      <c r="A1175" s="1011">
        <v>4123550</v>
      </c>
      <c r="B1175" s="1011" t="s">
        <v>4458</v>
      </c>
      <c r="C1175" s="1011" t="s">
        <v>4459</v>
      </c>
      <c r="D1175" s="1011" t="s">
        <v>1127</v>
      </c>
      <c r="E1175" s="1011" t="s">
        <v>1593</v>
      </c>
      <c r="F1175" s="1011" t="s">
        <v>1383</v>
      </c>
    </row>
    <row r="1176" spans="1:6" x14ac:dyDescent="0.25">
      <c r="A1176" s="1011">
        <v>44124857</v>
      </c>
      <c r="B1176" s="1011" t="s">
        <v>4460</v>
      </c>
      <c r="C1176" s="1011" t="s">
        <v>4461</v>
      </c>
      <c r="D1176" s="1011" t="s">
        <v>2776</v>
      </c>
      <c r="E1176" s="1011" t="s">
        <v>1583</v>
      </c>
      <c r="F1176" s="1011" t="s">
        <v>1343</v>
      </c>
    </row>
    <row r="1177" spans="1:6" x14ac:dyDescent="0.25">
      <c r="A1177" s="1011">
        <v>44125631</v>
      </c>
      <c r="B1177" s="1011" t="s">
        <v>4462</v>
      </c>
      <c r="C1177" s="1011" t="s">
        <v>1663</v>
      </c>
      <c r="D1177" s="1011" t="s">
        <v>1664</v>
      </c>
      <c r="E1177" s="1011" t="s">
        <v>1588</v>
      </c>
      <c r="F1177" s="1011" t="s">
        <v>1665</v>
      </c>
    </row>
    <row r="1178" spans="1:6" x14ac:dyDescent="0.25">
      <c r="A1178" s="1011">
        <v>24125486</v>
      </c>
      <c r="B1178" s="1011" t="s">
        <v>4463</v>
      </c>
      <c r="C1178" s="1011" t="s">
        <v>4464</v>
      </c>
      <c r="D1178" s="1011" t="s">
        <v>3205</v>
      </c>
      <c r="E1178" s="1011" t="s">
        <v>1588</v>
      </c>
      <c r="F1178" s="1011" t="s">
        <v>3206</v>
      </c>
    </row>
    <row r="1179" spans="1:6" x14ac:dyDescent="0.25">
      <c r="A1179" s="1011">
        <v>44125227</v>
      </c>
      <c r="B1179" s="1011" t="s">
        <v>4465</v>
      </c>
      <c r="C1179" s="1011" t="s">
        <v>4466</v>
      </c>
      <c r="D1179" s="1011" t="s">
        <v>1943</v>
      </c>
      <c r="E1179" s="1011" t="s">
        <v>1588</v>
      </c>
      <c r="F1179" s="1011" t="s">
        <v>1944</v>
      </c>
    </row>
    <row r="1180" spans="1:6" x14ac:dyDescent="0.25">
      <c r="A1180" s="1011">
        <v>84163104</v>
      </c>
      <c r="B1180" s="1011" t="s">
        <v>4467</v>
      </c>
      <c r="C1180" s="1011" t="s">
        <v>4468</v>
      </c>
      <c r="D1180" s="1011" t="s">
        <v>2097</v>
      </c>
      <c r="E1180" s="1011" t="s">
        <v>1588</v>
      </c>
      <c r="F1180" s="1011" t="s">
        <v>2098</v>
      </c>
    </row>
    <row r="1181" spans="1:6" x14ac:dyDescent="0.25">
      <c r="A1181" s="1011">
        <v>34133942</v>
      </c>
      <c r="B1181" s="1011" t="s">
        <v>4469</v>
      </c>
      <c r="C1181" s="1011" t="s">
        <v>4470</v>
      </c>
      <c r="D1181" s="1011" t="s">
        <v>1641</v>
      </c>
      <c r="E1181" s="1011" t="s">
        <v>1583</v>
      </c>
      <c r="F1181" s="1011" t="s">
        <v>1463</v>
      </c>
    </row>
    <row r="1182" spans="1:6" x14ac:dyDescent="0.25">
      <c r="A1182" s="1011">
        <v>4125464</v>
      </c>
      <c r="B1182" s="1011" t="s">
        <v>4471</v>
      </c>
      <c r="C1182" s="1011" t="s">
        <v>4472</v>
      </c>
      <c r="D1182" s="1011" t="s">
        <v>1125</v>
      </c>
      <c r="E1182" s="1011" t="s">
        <v>1588</v>
      </c>
      <c r="F1182" s="1011" t="s">
        <v>2944</v>
      </c>
    </row>
    <row r="1183" spans="1:6" x14ac:dyDescent="0.25">
      <c r="A1183" s="1011">
        <v>24123820</v>
      </c>
      <c r="B1183" s="1011" t="s">
        <v>4473</v>
      </c>
      <c r="C1183" s="1011" t="s">
        <v>4474</v>
      </c>
      <c r="D1183" s="1011" t="s">
        <v>1767</v>
      </c>
      <c r="E1183" s="1011" t="s">
        <v>1593</v>
      </c>
      <c r="F1183" s="1011" t="s">
        <v>1419</v>
      </c>
    </row>
    <row r="1184" spans="1:6" x14ac:dyDescent="0.25">
      <c r="A1184" s="1011">
        <v>64237761</v>
      </c>
      <c r="B1184" s="1011" t="s">
        <v>4475</v>
      </c>
      <c r="C1184" s="1011" t="s">
        <v>4476</v>
      </c>
      <c r="D1184" s="1011" t="s">
        <v>1815</v>
      </c>
      <c r="E1184" s="1011" t="s">
        <v>1593</v>
      </c>
      <c r="F1184" s="1011" t="s">
        <v>1816</v>
      </c>
    </row>
    <row r="1185" spans="1:6" x14ac:dyDescent="0.25">
      <c r="A1185" s="1011">
        <v>64124688</v>
      </c>
      <c r="B1185" s="1011" t="s">
        <v>4477</v>
      </c>
      <c r="C1185" s="1011" t="s">
        <v>4478</v>
      </c>
      <c r="D1185" s="1011" t="s">
        <v>1127</v>
      </c>
      <c r="E1185" s="1011" t="s">
        <v>1593</v>
      </c>
      <c r="F1185" s="1011" t="s">
        <v>1395</v>
      </c>
    </row>
    <row r="1186" spans="1:6" x14ac:dyDescent="0.25">
      <c r="A1186" s="1011">
        <v>84124304</v>
      </c>
      <c r="B1186" s="1011" t="s">
        <v>4479</v>
      </c>
      <c r="C1186" s="1011" t="s">
        <v>4480</v>
      </c>
      <c r="D1186" s="1011" t="s">
        <v>2974</v>
      </c>
      <c r="E1186" s="1011" t="s">
        <v>1593</v>
      </c>
      <c r="F1186" s="1011" t="s">
        <v>1389</v>
      </c>
    </row>
    <row r="1187" spans="1:6" x14ac:dyDescent="0.25">
      <c r="A1187" s="1011">
        <v>14125843</v>
      </c>
      <c r="B1187" s="1011" t="s">
        <v>4481</v>
      </c>
      <c r="C1187" s="1011" t="s">
        <v>4482</v>
      </c>
      <c r="D1187" s="1011" t="s">
        <v>3330</v>
      </c>
      <c r="E1187" s="1011" t="s">
        <v>1588</v>
      </c>
      <c r="F1187" s="1011" t="s">
        <v>3331</v>
      </c>
    </row>
    <row r="1188" spans="1:6" x14ac:dyDescent="0.25">
      <c r="A1188" s="1011">
        <v>34161646</v>
      </c>
      <c r="B1188" s="1011" t="s">
        <v>4483</v>
      </c>
      <c r="C1188" s="1011" t="s">
        <v>4484</v>
      </c>
      <c r="D1188" s="1011" t="s">
        <v>1127</v>
      </c>
      <c r="E1188" s="1011" t="s">
        <v>1593</v>
      </c>
      <c r="F1188" s="1011" t="s">
        <v>1383</v>
      </c>
    </row>
    <row r="1189" spans="1:6" x14ac:dyDescent="0.25">
      <c r="A1189" s="1011">
        <v>34124396</v>
      </c>
      <c r="B1189" s="1011" t="s">
        <v>4485</v>
      </c>
      <c r="C1189" s="1011" t="s">
        <v>4486</v>
      </c>
      <c r="D1189" s="1011" t="s">
        <v>1127</v>
      </c>
      <c r="E1189" s="1011" t="s">
        <v>1593</v>
      </c>
      <c r="F1189" s="1011" t="s">
        <v>1449</v>
      </c>
    </row>
    <row r="1190" spans="1:6" x14ac:dyDescent="0.25">
      <c r="A1190" s="1011">
        <v>44125433</v>
      </c>
      <c r="B1190" s="1011" t="s">
        <v>4487</v>
      </c>
      <c r="C1190" s="1011" t="s">
        <v>4488</v>
      </c>
      <c r="D1190" s="1011" t="s">
        <v>1125</v>
      </c>
      <c r="E1190" s="1011" t="s">
        <v>1588</v>
      </c>
      <c r="F1190" s="1011" t="s">
        <v>1770</v>
      </c>
    </row>
    <row r="1191" spans="1:6" x14ac:dyDescent="0.25">
      <c r="A1191" s="1011">
        <v>34123620</v>
      </c>
      <c r="B1191" s="1011" t="s">
        <v>4489</v>
      </c>
      <c r="C1191" s="1011" t="s">
        <v>4490</v>
      </c>
      <c r="D1191" s="1011" t="s">
        <v>4491</v>
      </c>
      <c r="E1191" s="1011" t="s">
        <v>1593</v>
      </c>
      <c r="F1191" s="1011" t="s">
        <v>4492</v>
      </c>
    </row>
    <row r="1192" spans="1:6" x14ac:dyDescent="0.25">
      <c r="A1192" s="1011">
        <v>84124544</v>
      </c>
      <c r="B1192" s="1011" t="s">
        <v>4493</v>
      </c>
      <c r="C1192" s="1011" t="s">
        <v>4494</v>
      </c>
      <c r="D1192" s="1011" t="s">
        <v>1127</v>
      </c>
      <c r="E1192" s="1011" t="s">
        <v>1593</v>
      </c>
      <c r="F1192" s="1011" t="s">
        <v>1449</v>
      </c>
    </row>
    <row r="1193" spans="1:6" x14ac:dyDescent="0.25">
      <c r="A1193" s="1011">
        <v>54124375</v>
      </c>
      <c r="B1193" s="1011" t="s">
        <v>4495</v>
      </c>
      <c r="C1193" s="1011" t="s">
        <v>3259</v>
      </c>
      <c r="D1193" s="1011" t="s">
        <v>1702</v>
      </c>
      <c r="E1193" s="1011" t="s">
        <v>1593</v>
      </c>
      <c r="F1193" s="1011" t="s">
        <v>1703</v>
      </c>
    </row>
    <row r="1194" spans="1:6" x14ac:dyDescent="0.25">
      <c r="A1194" s="1011">
        <v>24124489</v>
      </c>
      <c r="B1194" s="1011" t="s">
        <v>4496</v>
      </c>
      <c r="C1194" s="1011" t="s">
        <v>3147</v>
      </c>
      <c r="D1194" s="1011" t="s">
        <v>1685</v>
      </c>
      <c r="E1194" s="1011" t="s">
        <v>1593</v>
      </c>
      <c r="F1194" s="1011" t="s">
        <v>1469</v>
      </c>
    </row>
    <row r="1195" spans="1:6" x14ac:dyDescent="0.25">
      <c r="A1195" s="1011">
        <v>54129879</v>
      </c>
      <c r="B1195" s="1011" t="s">
        <v>4497</v>
      </c>
      <c r="C1195" s="1011" t="s">
        <v>4498</v>
      </c>
      <c r="D1195" s="1011" t="s">
        <v>4499</v>
      </c>
      <c r="E1195" s="1011" t="s">
        <v>1588</v>
      </c>
      <c r="F1195" s="1011" t="s">
        <v>4500</v>
      </c>
    </row>
    <row r="1196" spans="1:6" x14ac:dyDescent="0.25">
      <c r="A1196" s="1011">
        <v>64123987</v>
      </c>
      <c r="B1196" s="1011" t="s">
        <v>4501</v>
      </c>
      <c r="C1196" s="1011" t="s">
        <v>4502</v>
      </c>
      <c r="D1196" s="1011" t="s">
        <v>3120</v>
      </c>
      <c r="E1196" s="1011" t="s">
        <v>1593</v>
      </c>
      <c r="F1196" s="1011" t="s">
        <v>3121</v>
      </c>
    </row>
    <row r="1197" spans="1:6" x14ac:dyDescent="0.25">
      <c r="A1197" s="1011">
        <v>24222515</v>
      </c>
      <c r="B1197" s="1011" t="s">
        <v>4503</v>
      </c>
      <c r="C1197" s="1011" t="s">
        <v>4504</v>
      </c>
      <c r="D1197" s="1011" t="s">
        <v>1752</v>
      </c>
      <c r="E1197" s="1011" t="s">
        <v>1588</v>
      </c>
      <c r="F1197" s="1011" t="s">
        <v>1753</v>
      </c>
    </row>
    <row r="1198" spans="1:6" x14ac:dyDescent="0.25">
      <c r="A1198" s="1011">
        <v>94140902</v>
      </c>
      <c r="B1198" s="1011" t="s">
        <v>4505</v>
      </c>
      <c r="C1198" s="1011" t="s">
        <v>3044</v>
      </c>
      <c r="D1198" s="1011" t="s">
        <v>1602</v>
      </c>
      <c r="E1198" s="1011" t="s">
        <v>1593</v>
      </c>
      <c r="F1198" s="1011" t="s">
        <v>1417</v>
      </c>
    </row>
    <row r="1199" spans="1:6" x14ac:dyDescent="0.25">
      <c r="A1199" s="1011">
        <v>34143446</v>
      </c>
      <c r="B1199" s="1011" t="s">
        <v>4506</v>
      </c>
      <c r="C1199" s="1011" t="s">
        <v>4507</v>
      </c>
      <c r="D1199" s="1011" t="s">
        <v>1756</v>
      </c>
      <c r="E1199" s="1011" t="s">
        <v>1593</v>
      </c>
      <c r="F1199" s="1011" t="s">
        <v>1429</v>
      </c>
    </row>
    <row r="1200" spans="1:6" x14ac:dyDescent="0.25">
      <c r="A1200" s="1011">
        <v>74147620</v>
      </c>
      <c r="B1200" s="1011" t="s">
        <v>4508</v>
      </c>
      <c r="C1200" s="1011" t="s">
        <v>4509</v>
      </c>
      <c r="D1200" s="1011" t="s">
        <v>4510</v>
      </c>
      <c r="E1200" s="1011" t="s">
        <v>1588</v>
      </c>
      <c r="F1200" s="1011" t="s">
        <v>4511</v>
      </c>
    </row>
    <row r="1201" spans="1:6" x14ac:dyDescent="0.25">
      <c r="A1201" s="1011">
        <v>14125322</v>
      </c>
      <c r="B1201" s="1011" t="s">
        <v>4512</v>
      </c>
      <c r="C1201" s="1011" t="s">
        <v>4513</v>
      </c>
      <c r="D1201" s="1011" t="s">
        <v>3435</v>
      </c>
      <c r="E1201" s="1011" t="s">
        <v>1588</v>
      </c>
      <c r="F1201" s="1011" t="s">
        <v>3436</v>
      </c>
    </row>
    <row r="1202" spans="1:6" x14ac:dyDescent="0.25">
      <c r="A1202" s="1011">
        <v>84125442</v>
      </c>
      <c r="B1202" s="1011" t="s">
        <v>4514</v>
      </c>
      <c r="C1202" s="1011" t="s">
        <v>4515</v>
      </c>
      <c r="D1202" s="1011" t="s">
        <v>2394</v>
      </c>
      <c r="E1202" s="1011" t="s">
        <v>1588</v>
      </c>
      <c r="F1202" s="1011" t="s">
        <v>2395</v>
      </c>
    </row>
    <row r="1203" spans="1:6" x14ac:dyDescent="0.25">
      <c r="A1203" s="1011">
        <v>64123862</v>
      </c>
      <c r="B1203" s="1011" t="s">
        <v>4516</v>
      </c>
      <c r="C1203" s="1011" t="s">
        <v>4517</v>
      </c>
      <c r="D1203" s="1011" t="s">
        <v>2433</v>
      </c>
      <c r="E1203" s="1011" t="s">
        <v>1593</v>
      </c>
      <c r="F1203" s="1011" t="s">
        <v>2434</v>
      </c>
    </row>
    <row r="1204" spans="1:6" x14ac:dyDescent="0.25">
      <c r="A1204" s="1011">
        <v>44125151</v>
      </c>
      <c r="B1204" s="1011" t="s">
        <v>4518</v>
      </c>
      <c r="C1204" s="1011" t="s">
        <v>4519</v>
      </c>
      <c r="D1204" s="1011" t="s">
        <v>2969</v>
      </c>
      <c r="E1204" s="1011" t="s">
        <v>1583</v>
      </c>
      <c r="F1204" s="1011" t="s">
        <v>1451</v>
      </c>
    </row>
    <row r="1205" spans="1:6" x14ac:dyDescent="0.25">
      <c r="A1205" s="1011">
        <v>4124442</v>
      </c>
      <c r="B1205" s="1011" t="s">
        <v>4520</v>
      </c>
      <c r="C1205" s="1011" t="s">
        <v>4521</v>
      </c>
      <c r="D1205" s="1011" t="s">
        <v>2174</v>
      </c>
      <c r="E1205" s="1011" t="s">
        <v>1593</v>
      </c>
      <c r="F1205" s="1011" t="s">
        <v>2175</v>
      </c>
    </row>
    <row r="1206" spans="1:6" x14ac:dyDescent="0.25">
      <c r="A1206" s="1011">
        <v>4125795</v>
      </c>
      <c r="B1206" s="1011" t="s">
        <v>4522</v>
      </c>
      <c r="C1206" s="1011" t="s">
        <v>4523</v>
      </c>
      <c r="D1206" s="1011" t="s">
        <v>2178</v>
      </c>
      <c r="E1206" s="1011" t="s">
        <v>1588</v>
      </c>
      <c r="F1206" s="1011" t="s">
        <v>2179</v>
      </c>
    </row>
    <row r="1207" spans="1:6" x14ac:dyDescent="0.25">
      <c r="A1207" s="1011">
        <v>24125353</v>
      </c>
      <c r="B1207" s="1011" t="s">
        <v>4524</v>
      </c>
      <c r="C1207" s="1011" t="s">
        <v>4525</v>
      </c>
      <c r="D1207" s="1011" t="s">
        <v>1125</v>
      </c>
      <c r="E1207" s="1011" t="s">
        <v>1588</v>
      </c>
      <c r="F1207" s="1011" t="s">
        <v>1770</v>
      </c>
    </row>
    <row r="1208" spans="1:6" x14ac:dyDescent="0.25">
      <c r="A1208" s="1011">
        <v>34126094</v>
      </c>
      <c r="B1208" s="1011" t="s">
        <v>4526</v>
      </c>
      <c r="C1208" s="1011" t="s">
        <v>4527</v>
      </c>
      <c r="D1208" s="1011" t="s">
        <v>1125</v>
      </c>
      <c r="E1208" s="1011" t="s">
        <v>1588</v>
      </c>
      <c r="F1208" s="1011" t="s">
        <v>1770</v>
      </c>
    </row>
    <row r="1209" spans="1:6" x14ac:dyDescent="0.25">
      <c r="A1209" s="1011">
        <v>24123796</v>
      </c>
      <c r="B1209" s="1011" t="s">
        <v>4528</v>
      </c>
      <c r="C1209" s="1011" t="s">
        <v>4529</v>
      </c>
      <c r="D1209" s="1011" t="s">
        <v>1702</v>
      </c>
      <c r="E1209" s="1011" t="s">
        <v>1593</v>
      </c>
      <c r="F1209" s="1011" t="s">
        <v>1703</v>
      </c>
    </row>
    <row r="1210" spans="1:6" x14ac:dyDescent="0.25">
      <c r="A1210" s="1011">
        <v>64125669</v>
      </c>
      <c r="B1210" s="1011" t="s">
        <v>4530</v>
      </c>
      <c r="C1210" s="1011" t="s">
        <v>4531</v>
      </c>
      <c r="D1210" s="1011" t="s">
        <v>1125</v>
      </c>
      <c r="E1210" s="1011" t="s">
        <v>1588</v>
      </c>
      <c r="F1210" s="1011" t="s">
        <v>1770</v>
      </c>
    </row>
    <row r="1211" spans="1:6" x14ac:dyDescent="0.25">
      <c r="A1211" s="1011">
        <v>84125632</v>
      </c>
      <c r="B1211" s="1011" t="s">
        <v>4532</v>
      </c>
      <c r="C1211" s="1011" t="s">
        <v>4533</v>
      </c>
      <c r="D1211" s="1011" t="s">
        <v>2413</v>
      </c>
      <c r="E1211" s="1011" t="s">
        <v>1612</v>
      </c>
      <c r="F1211" s="1011" t="s">
        <v>2414</v>
      </c>
    </row>
    <row r="1212" spans="1:6" x14ac:dyDescent="0.25">
      <c r="A1212" s="1011">
        <v>84125103</v>
      </c>
      <c r="B1212" s="1011" t="s">
        <v>4534</v>
      </c>
      <c r="C1212" s="1011" t="s">
        <v>4535</v>
      </c>
      <c r="D1212" s="1011" t="s">
        <v>1892</v>
      </c>
      <c r="E1212" s="1011" t="s">
        <v>1583</v>
      </c>
      <c r="F1212" s="1011" t="s">
        <v>1371</v>
      </c>
    </row>
    <row r="1213" spans="1:6" x14ac:dyDescent="0.25">
      <c r="A1213" s="1011">
        <v>44125979</v>
      </c>
      <c r="B1213" s="1011" t="s">
        <v>4234</v>
      </c>
      <c r="C1213" s="1011" t="s">
        <v>4536</v>
      </c>
      <c r="D1213" s="1011" t="s">
        <v>1672</v>
      </c>
      <c r="E1213" s="1011" t="s">
        <v>1593</v>
      </c>
      <c r="F1213" s="1011" t="s">
        <v>1407</v>
      </c>
    </row>
    <row r="1214" spans="1:6" x14ac:dyDescent="0.25">
      <c r="A1214" s="1011">
        <v>44123966</v>
      </c>
      <c r="B1214" s="1011" t="s">
        <v>4537</v>
      </c>
      <c r="C1214" s="1011" t="s">
        <v>4538</v>
      </c>
      <c r="D1214" s="1011" t="s">
        <v>1127</v>
      </c>
      <c r="E1214" s="1011" t="s">
        <v>1593</v>
      </c>
      <c r="F1214" s="1011" t="s">
        <v>1383</v>
      </c>
    </row>
    <row r="1215" spans="1:6" x14ac:dyDescent="0.25">
      <c r="A1215" s="1011">
        <v>24124364</v>
      </c>
      <c r="B1215" s="1011" t="s">
        <v>4539</v>
      </c>
      <c r="C1215" s="1011" t="s">
        <v>4540</v>
      </c>
      <c r="D1215" s="1011" t="s">
        <v>1725</v>
      </c>
      <c r="E1215" s="1011" t="s">
        <v>1593</v>
      </c>
      <c r="F1215" s="1011" t="s">
        <v>1413</v>
      </c>
    </row>
    <row r="1216" spans="1:6" x14ac:dyDescent="0.25">
      <c r="A1216" s="1011">
        <v>64125511</v>
      </c>
      <c r="B1216" s="1011" t="s">
        <v>4541</v>
      </c>
      <c r="C1216" s="1011" t="s">
        <v>4542</v>
      </c>
      <c r="D1216" s="1011" t="s">
        <v>3160</v>
      </c>
      <c r="E1216" s="1011" t="s">
        <v>1588</v>
      </c>
      <c r="F1216" s="1011" t="s">
        <v>3161</v>
      </c>
    </row>
    <row r="1217" spans="1:6" x14ac:dyDescent="0.25">
      <c r="A1217" s="1011">
        <v>94125705</v>
      </c>
      <c r="B1217" s="1011" t="s">
        <v>4543</v>
      </c>
      <c r="C1217" s="1011" t="s">
        <v>4544</v>
      </c>
      <c r="D1217" s="1011" t="s">
        <v>4545</v>
      </c>
      <c r="E1217" s="1011" t="s">
        <v>1588</v>
      </c>
      <c r="F1217" s="1011" t="s">
        <v>4546</v>
      </c>
    </row>
    <row r="1218" spans="1:6" x14ac:dyDescent="0.25">
      <c r="A1218" s="1011">
        <v>24125544</v>
      </c>
      <c r="B1218" s="1011" t="s">
        <v>4547</v>
      </c>
      <c r="C1218" s="1011" t="s">
        <v>4548</v>
      </c>
      <c r="D1218" s="1011" t="s">
        <v>2865</v>
      </c>
      <c r="E1218" s="1011" t="s">
        <v>1588</v>
      </c>
      <c r="F1218" s="1011" t="s">
        <v>2866</v>
      </c>
    </row>
    <row r="1219" spans="1:6" x14ac:dyDescent="0.25">
      <c r="A1219" s="1011">
        <v>14259402</v>
      </c>
      <c r="B1219" s="1011" t="s">
        <v>4549</v>
      </c>
      <c r="C1219" s="1011" t="s">
        <v>3143</v>
      </c>
      <c r="D1219" s="1011" t="s">
        <v>1127</v>
      </c>
      <c r="E1219" s="1011" t="s">
        <v>1593</v>
      </c>
      <c r="F1219" s="1011" t="s">
        <v>1445</v>
      </c>
    </row>
    <row r="1220" spans="1:6" x14ac:dyDescent="0.25">
      <c r="A1220" s="1011">
        <v>94124823</v>
      </c>
      <c r="B1220" s="1011" t="s">
        <v>4550</v>
      </c>
      <c r="C1220" s="1011" t="s">
        <v>4551</v>
      </c>
      <c r="D1220" s="1011" t="s">
        <v>3828</v>
      </c>
      <c r="E1220" s="1011" t="s">
        <v>1593</v>
      </c>
      <c r="F1220" s="1011" t="s">
        <v>3829</v>
      </c>
    </row>
    <row r="1221" spans="1:6" x14ac:dyDescent="0.25">
      <c r="A1221" s="1011">
        <v>74125410</v>
      </c>
      <c r="B1221" s="1011" t="s">
        <v>4552</v>
      </c>
      <c r="C1221" s="1011" t="s">
        <v>4553</v>
      </c>
      <c r="D1221" s="1011" t="s">
        <v>4554</v>
      </c>
      <c r="E1221" s="1011" t="s">
        <v>1588</v>
      </c>
      <c r="F1221" s="1011" t="s">
        <v>4555</v>
      </c>
    </row>
    <row r="1222" spans="1:6" x14ac:dyDescent="0.25">
      <c r="A1222" s="1011">
        <v>14270722</v>
      </c>
      <c r="B1222" s="1011" t="s">
        <v>4556</v>
      </c>
      <c r="C1222" s="1011" t="s">
        <v>4557</v>
      </c>
      <c r="D1222" s="1011" t="s">
        <v>3828</v>
      </c>
      <c r="E1222" s="1011" t="s">
        <v>1593</v>
      </c>
      <c r="F1222" s="1011" t="s">
        <v>3829</v>
      </c>
    </row>
    <row r="1223" spans="1:6" x14ac:dyDescent="0.25">
      <c r="A1223" s="1011">
        <v>44125755</v>
      </c>
      <c r="B1223" s="1011" t="s">
        <v>4558</v>
      </c>
      <c r="C1223" s="1011" t="s">
        <v>3392</v>
      </c>
      <c r="D1223" s="1011" t="s">
        <v>1125</v>
      </c>
      <c r="E1223" s="1011" t="s">
        <v>1588</v>
      </c>
      <c r="F1223" s="1011" t="s">
        <v>1619</v>
      </c>
    </row>
    <row r="1224" spans="1:6" x14ac:dyDescent="0.25">
      <c r="A1224" s="1011">
        <v>94123536</v>
      </c>
      <c r="B1224" s="1011" t="s">
        <v>4559</v>
      </c>
      <c r="C1224" s="1011" t="s">
        <v>4560</v>
      </c>
      <c r="D1224" s="1011" t="s">
        <v>1127</v>
      </c>
      <c r="E1224" s="1011" t="s">
        <v>1593</v>
      </c>
      <c r="F1224" s="1011" t="s">
        <v>1383</v>
      </c>
    </row>
    <row r="1225" spans="1:6" x14ac:dyDescent="0.25">
      <c r="A1225" s="1011">
        <v>34125674</v>
      </c>
      <c r="B1225" s="1011" t="s">
        <v>4561</v>
      </c>
      <c r="C1225" s="1011" t="s">
        <v>2262</v>
      </c>
      <c r="D1225" s="1011" t="s">
        <v>1596</v>
      </c>
      <c r="E1225" s="1011" t="s">
        <v>1593</v>
      </c>
      <c r="F1225" s="1011" t="s">
        <v>1351</v>
      </c>
    </row>
    <row r="1226" spans="1:6" x14ac:dyDescent="0.25">
      <c r="A1226" s="1011">
        <v>74125634</v>
      </c>
      <c r="B1226" s="1011" t="s">
        <v>4562</v>
      </c>
      <c r="C1226" s="1011" t="s">
        <v>4563</v>
      </c>
      <c r="D1226" s="1011" t="s">
        <v>2698</v>
      </c>
      <c r="E1226" s="1011" t="s">
        <v>1612</v>
      </c>
      <c r="F1226" s="1011" t="s">
        <v>2699</v>
      </c>
    </row>
    <row r="1227" spans="1:6" x14ac:dyDescent="0.25">
      <c r="A1227" s="1011">
        <v>4125928</v>
      </c>
      <c r="B1227" s="1011" t="s">
        <v>4564</v>
      </c>
      <c r="C1227" s="1011" t="s">
        <v>4565</v>
      </c>
      <c r="D1227" s="1011" t="s">
        <v>3974</v>
      </c>
      <c r="E1227" s="1011" t="s">
        <v>1612</v>
      </c>
      <c r="F1227" s="1011" t="s">
        <v>3975</v>
      </c>
    </row>
    <row r="1228" spans="1:6" x14ac:dyDescent="0.25">
      <c r="A1228" s="1011">
        <v>74125832</v>
      </c>
      <c r="B1228" s="1011" t="s">
        <v>4566</v>
      </c>
      <c r="C1228" s="1011" t="s">
        <v>4567</v>
      </c>
      <c r="D1228" s="1011" t="s">
        <v>4568</v>
      </c>
      <c r="E1228" s="1011" t="s">
        <v>1588</v>
      </c>
      <c r="F1228" s="1011" t="s">
        <v>4569</v>
      </c>
    </row>
    <row r="1229" spans="1:6" x14ac:dyDescent="0.25">
      <c r="A1229" s="1011">
        <v>34125849</v>
      </c>
      <c r="B1229" s="1011" t="s">
        <v>4570</v>
      </c>
      <c r="C1229" s="1011" t="s">
        <v>4571</v>
      </c>
      <c r="D1229" s="1011" t="s">
        <v>2071</v>
      </c>
      <c r="E1229" s="1011" t="s">
        <v>1588</v>
      </c>
      <c r="F1229" s="1011" t="s">
        <v>1465</v>
      </c>
    </row>
    <row r="1230" spans="1:6" x14ac:dyDescent="0.25">
      <c r="A1230" s="1011">
        <v>64124597</v>
      </c>
      <c r="B1230" s="1011" t="s">
        <v>4572</v>
      </c>
      <c r="C1230" s="1011" t="s">
        <v>4573</v>
      </c>
      <c r="D1230" s="1011" t="s">
        <v>2726</v>
      </c>
      <c r="E1230" s="1011" t="s">
        <v>1593</v>
      </c>
      <c r="F1230" s="1011" t="s">
        <v>2727</v>
      </c>
    </row>
    <row r="1231" spans="1:6" x14ac:dyDescent="0.25">
      <c r="A1231" s="1011">
        <v>84251131</v>
      </c>
      <c r="B1231" s="1011" t="s">
        <v>4574</v>
      </c>
      <c r="C1231" s="1011" t="s">
        <v>4575</v>
      </c>
      <c r="D1231" s="1011" t="s">
        <v>4277</v>
      </c>
      <c r="E1231" s="1011" t="s">
        <v>1583</v>
      </c>
      <c r="F1231" s="1011" t="s">
        <v>4278</v>
      </c>
    </row>
    <row r="1232" spans="1:6" x14ac:dyDescent="0.25">
      <c r="A1232" s="1011">
        <v>64170871</v>
      </c>
      <c r="B1232" s="1011" t="s">
        <v>4576</v>
      </c>
      <c r="C1232" s="1011" t="s">
        <v>4577</v>
      </c>
      <c r="D1232" s="1011" t="s">
        <v>2133</v>
      </c>
      <c r="E1232" s="1011" t="s">
        <v>1593</v>
      </c>
      <c r="F1232" s="1011" t="s">
        <v>2134</v>
      </c>
    </row>
    <row r="1233" spans="1:6" x14ac:dyDescent="0.25">
      <c r="A1233" s="1011">
        <v>4125837</v>
      </c>
      <c r="B1233" s="1011" t="s">
        <v>4578</v>
      </c>
      <c r="C1233" s="1011" t="s">
        <v>4579</v>
      </c>
      <c r="D1233" s="1011" t="s">
        <v>2838</v>
      </c>
      <c r="E1233" s="1011" t="s">
        <v>1612</v>
      </c>
      <c r="F1233" s="1011" t="s">
        <v>2839</v>
      </c>
    </row>
    <row r="1234" spans="1:6" x14ac:dyDescent="0.25">
      <c r="A1234" s="1011">
        <v>84124411</v>
      </c>
      <c r="B1234" s="1011" t="s">
        <v>4580</v>
      </c>
      <c r="C1234" s="1011" t="s">
        <v>1631</v>
      </c>
      <c r="D1234" s="1011" t="s">
        <v>1127</v>
      </c>
      <c r="E1234" s="1011" t="s">
        <v>1593</v>
      </c>
      <c r="F1234" s="1011" t="s">
        <v>1461</v>
      </c>
    </row>
    <row r="1235" spans="1:6" x14ac:dyDescent="0.25">
      <c r="A1235" s="1011">
        <v>34124925</v>
      </c>
      <c r="B1235" s="1011" t="s">
        <v>4581</v>
      </c>
      <c r="C1235" s="1011" t="s">
        <v>4582</v>
      </c>
      <c r="D1235" s="1011" t="s">
        <v>4583</v>
      </c>
      <c r="E1235" s="1011" t="s">
        <v>1583</v>
      </c>
      <c r="F1235" s="1011" t="s">
        <v>4584</v>
      </c>
    </row>
    <row r="1236" spans="1:6" x14ac:dyDescent="0.25">
      <c r="A1236" s="1011">
        <v>84125830</v>
      </c>
      <c r="B1236" s="1011" t="s">
        <v>4585</v>
      </c>
      <c r="C1236" s="1011" t="s">
        <v>4586</v>
      </c>
      <c r="D1236" s="1011" t="s">
        <v>2838</v>
      </c>
      <c r="E1236" s="1011" t="s">
        <v>1612</v>
      </c>
      <c r="F1236" s="1011" t="s">
        <v>2839</v>
      </c>
    </row>
    <row r="1237" spans="1:6" x14ac:dyDescent="0.25">
      <c r="A1237" s="1011">
        <v>34125724</v>
      </c>
      <c r="B1237" s="1011" t="s">
        <v>4587</v>
      </c>
      <c r="C1237" s="1011" t="s">
        <v>1807</v>
      </c>
      <c r="D1237" s="1011" t="s">
        <v>1808</v>
      </c>
      <c r="E1237" s="1011" t="s">
        <v>1588</v>
      </c>
      <c r="F1237" s="1011" t="s">
        <v>1809</v>
      </c>
    </row>
    <row r="1238" spans="1:6" x14ac:dyDescent="0.25">
      <c r="A1238" s="1011">
        <v>54239553</v>
      </c>
      <c r="B1238" s="1011" t="s">
        <v>4588</v>
      </c>
      <c r="C1238" s="1011" t="s">
        <v>4589</v>
      </c>
      <c r="D1238" s="1011" t="s">
        <v>1596</v>
      </c>
      <c r="E1238" s="1011" t="s">
        <v>1593</v>
      </c>
      <c r="F1238" s="1011" t="s">
        <v>1351</v>
      </c>
    </row>
    <row r="1239" spans="1:6" x14ac:dyDescent="0.25">
      <c r="A1239" s="1011">
        <v>94241668</v>
      </c>
      <c r="B1239" s="1011" t="s">
        <v>4590</v>
      </c>
      <c r="C1239" s="1011" t="s">
        <v>4591</v>
      </c>
      <c r="D1239" s="1011" t="s">
        <v>3517</v>
      </c>
      <c r="E1239" s="1011" t="s">
        <v>1588</v>
      </c>
      <c r="F1239" s="1011" t="s">
        <v>3518</v>
      </c>
    </row>
    <row r="1240" spans="1:6" x14ac:dyDescent="0.25">
      <c r="A1240" s="1011">
        <v>94125804</v>
      </c>
      <c r="B1240" s="1011" t="s">
        <v>4592</v>
      </c>
      <c r="C1240" s="1011" t="s">
        <v>3712</v>
      </c>
      <c r="D1240" s="1011" t="s">
        <v>1792</v>
      </c>
      <c r="E1240" s="1011" t="s">
        <v>1588</v>
      </c>
      <c r="F1240" s="1011" t="s">
        <v>1793</v>
      </c>
    </row>
    <row r="1241" spans="1:6" x14ac:dyDescent="0.25">
      <c r="A1241" s="1011">
        <v>94124393</v>
      </c>
      <c r="B1241" s="1011" t="s">
        <v>4593</v>
      </c>
      <c r="C1241" s="1011" t="s">
        <v>4594</v>
      </c>
      <c r="D1241" s="1011" t="s">
        <v>4054</v>
      </c>
      <c r="E1241" s="1011" t="s">
        <v>1583</v>
      </c>
      <c r="F1241" s="1011" t="s">
        <v>4055</v>
      </c>
    </row>
    <row r="1242" spans="1:6" x14ac:dyDescent="0.25">
      <c r="A1242" s="1011">
        <v>64144447</v>
      </c>
      <c r="B1242" s="1011" t="s">
        <v>4595</v>
      </c>
      <c r="C1242" s="1011" t="s">
        <v>4596</v>
      </c>
      <c r="D1242" s="1011" t="s">
        <v>3340</v>
      </c>
      <c r="E1242" s="1011" t="s">
        <v>1588</v>
      </c>
      <c r="F1242" s="1011" t="s">
        <v>1437</v>
      </c>
    </row>
    <row r="1243" spans="1:6" x14ac:dyDescent="0.25">
      <c r="A1243" s="1011">
        <v>44124253</v>
      </c>
      <c r="B1243" s="1011" t="s">
        <v>4597</v>
      </c>
      <c r="C1243" s="1011" t="s">
        <v>4598</v>
      </c>
      <c r="D1243" s="1011" t="s">
        <v>4599</v>
      </c>
      <c r="E1243" s="1011" t="s">
        <v>1593</v>
      </c>
      <c r="F1243" s="1011" t="s">
        <v>4600</v>
      </c>
    </row>
    <row r="1244" spans="1:6" x14ac:dyDescent="0.25">
      <c r="A1244" s="1011">
        <v>44126019</v>
      </c>
      <c r="B1244" s="1011" t="s">
        <v>4601</v>
      </c>
      <c r="C1244" s="1011" t="s">
        <v>4602</v>
      </c>
      <c r="D1244" s="1011" t="s">
        <v>1125</v>
      </c>
      <c r="E1244" s="1011" t="s">
        <v>1588</v>
      </c>
      <c r="F1244" s="1011" t="s">
        <v>1770</v>
      </c>
    </row>
    <row r="1245" spans="1:6" x14ac:dyDescent="0.25">
      <c r="A1245" s="1011">
        <v>94163995</v>
      </c>
      <c r="B1245" s="1011" t="s">
        <v>4603</v>
      </c>
      <c r="C1245" s="1011" t="s">
        <v>4604</v>
      </c>
      <c r="D1245" s="1011" t="s">
        <v>1909</v>
      </c>
      <c r="E1245" s="1011" t="s">
        <v>1588</v>
      </c>
      <c r="F1245" s="1011" t="s">
        <v>1910</v>
      </c>
    </row>
    <row r="1246" spans="1:6" x14ac:dyDescent="0.25">
      <c r="A1246" s="1011">
        <v>94123643</v>
      </c>
      <c r="B1246" s="1011" t="s">
        <v>4605</v>
      </c>
      <c r="C1246" s="1011" t="s">
        <v>4606</v>
      </c>
      <c r="D1246" s="1011" t="s">
        <v>1127</v>
      </c>
      <c r="E1246" s="1011" t="s">
        <v>1593</v>
      </c>
      <c r="F1246" s="1011" t="s">
        <v>1445</v>
      </c>
    </row>
    <row r="1247" spans="1:6" x14ac:dyDescent="0.25">
      <c r="A1247" s="1011">
        <v>94125283</v>
      </c>
      <c r="B1247" s="1011" t="s">
        <v>4607</v>
      </c>
      <c r="C1247" s="1011" t="s">
        <v>4608</v>
      </c>
      <c r="D1247" s="1011" t="s">
        <v>3179</v>
      </c>
      <c r="E1247" s="1011" t="s">
        <v>1588</v>
      </c>
      <c r="F1247" s="1011" t="s">
        <v>3180</v>
      </c>
    </row>
    <row r="1248" spans="1:6" x14ac:dyDescent="0.25">
      <c r="A1248" s="1011">
        <v>4126066</v>
      </c>
      <c r="B1248" s="1011" t="s">
        <v>4609</v>
      </c>
      <c r="C1248" s="1011" t="s">
        <v>4610</v>
      </c>
      <c r="D1248" s="1011" t="s">
        <v>2365</v>
      </c>
      <c r="E1248" s="1011" t="s">
        <v>1588</v>
      </c>
      <c r="F1248" s="1011" t="s">
        <v>2366</v>
      </c>
    </row>
    <row r="1249" spans="1:6" x14ac:dyDescent="0.25">
      <c r="A1249" s="1011">
        <v>64142763</v>
      </c>
      <c r="B1249" s="1011" t="s">
        <v>4611</v>
      </c>
      <c r="C1249" s="1011" t="s">
        <v>4612</v>
      </c>
      <c r="D1249" s="1011" t="s">
        <v>4613</v>
      </c>
      <c r="E1249" s="1011" t="s">
        <v>1593</v>
      </c>
      <c r="F1249" s="1011" t="s">
        <v>4614</v>
      </c>
    </row>
    <row r="1250" spans="1:6" x14ac:dyDescent="0.25">
      <c r="A1250" s="1011">
        <v>64127673</v>
      </c>
      <c r="B1250" s="1011" t="s">
        <v>4615</v>
      </c>
      <c r="C1250" s="1011" t="s">
        <v>4616</v>
      </c>
      <c r="D1250" s="1011" t="s">
        <v>2275</v>
      </c>
      <c r="E1250" s="1011" t="s">
        <v>1593</v>
      </c>
      <c r="F1250" s="1011" t="s">
        <v>2276</v>
      </c>
    </row>
    <row r="1251" spans="1:6" x14ac:dyDescent="0.25">
      <c r="A1251" s="1011">
        <v>74125378</v>
      </c>
      <c r="B1251" s="1011" t="s">
        <v>4617</v>
      </c>
      <c r="C1251" s="1011" t="s">
        <v>4618</v>
      </c>
      <c r="D1251" s="1011" t="s">
        <v>4619</v>
      </c>
      <c r="E1251" s="1011" t="s">
        <v>1593</v>
      </c>
      <c r="F1251" s="1011" t="s">
        <v>4620</v>
      </c>
    </row>
    <row r="1252" spans="1:6" x14ac:dyDescent="0.25">
      <c r="A1252" s="1011">
        <v>94253911</v>
      </c>
      <c r="B1252" s="1011" t="s">
        <v>4621</v>
      </c>
      <c r="C1252" s="1011" t="s">
        <v>4622</v>
      </c>
      <c r="D1252" s="1011" t="s">
        <v>1637</v>
      </c>
      <c r="E1252" s="1011" t="s">
        <v>1593</v>
      </c>
      <c r="F1252" s="1011" t="s">
        <v>1638</v>
      </c>
    </row>
    <row r="1253" spans="1:6" x14ac:dyDescent="0.25">
      <c r="A1253" s="1011">
        <v>74124066</v>
      </c>
      <c r="B1253" s="1011" t="s">
        <v>4623</v>
      </c>
      <c r="C1253" s="1011" t="s">
        <v>4624</v>
      </c>
      <c r="D1253" s="1011" t="s">
        <v>1127</v>
      </c>
      <c r="E1253" s="1011" t="s">
        <v>1593</v>
      </c>
      <c r="F1253" s="1011" t="s">
        <v>1383</v>
      </c>
    </row>
    <row r="1254" spans="1:6" x14ac:dyDescent="0.25">
      <c r="A1254" s="1011">
        <v>94123486</v>
      </c>
      <c r="B1254" s="1011" t="s">
        <v>4625</v>
      </c>
      <c r="C1254" s="1011" t="s">
        <v>4626</v>
      </c>
      <c r="D1254" s="1011" t="s">
        <v>1127</v>
      </c>
      <c r="E1254" s="1011" t="s">
        <v>1593</v>
      </c>
      <c r="F1254" s="1011" t="s">
        <v>1375</v>
      </c>
    </row>
    <row r="1255" spans="1:6" x14ac:dyDescent="0.25">
      <c r="A1255" s="1011">
        <v>84134527</v>
      </c>
      <c r="B1255" s="1011" t="s">
        <v>4627</v>
      </c>
      <c r="C1255" s="1011" t="s">
        <v>4628</v>
      </c>
      <c r="D1255" s="1011" t="s">
        <v>1127</v>
      </c>
      <c r="E1255" s="1011" t="s">
        <v>1593</v>
      </c>
      <c r="F1255" s="1011" t="s">
        <v>1383</v>
      </c>
    </row>
    <row r="1256" spans="1:6" x14ac:dyDescent="0.25">
      <c r="A1256" s="1011">
        <v>44125607</v>
      </c>
      <c r="B1256" s="1011" t="s">
        <v>4629</v>
      </c>
      <c r="C1256" s="1011" t="s">
        <v>3236</v>
      </c>
      <c r="D1256" s="1011" t="s">
        <v>1125</v>
      </c>
      <c r="E1256" s="1011" t="s">
        <v>1588</v>
      </c>
      <c r="F1256" s="1011" t="s">
        <v>1421</v>
      </c>
    </row>
    <row r="1257" spans="1:6" x14ac:dyDescent="0.25">
      <c r="A1257" s="1011">
        <v>74123506</v>
      </c>
      <c r="B1257" s="1011" t="s">
        <v>4630</v>
      </c>
      <c r="C1257" s="1011" t="s">
        <v>1838</v>
      </c>
      <c r="D1257" s="1011" t="s">
        <v>1127</v>
      </c>
      <c r="E1257" s="1011" t="s">
        <v>1593</v>
      </c>
      <c r="F1257" s="1011" t="s">
        <v>1375</v>
      </c>
    </row>
    <row r="1258" spans="1:6" x14ac:dyDescent="0.25">
      <c r="A1258" s="1011">
        <v>64124183</v>
      </c>
      <c r="B1258" s="1011" t="s">
        <v>4631</v>
      </c>
      <c r="C1258" s="1011" t="s">
        <v>4632</v>
      </c>
      <c r="D1258" s="1011" t="s">
        <v>1658</v>
      </c>
      <c r="E1258" s="1011" t="s">
        <v>1593</v>
      </c>
      <c r="F1258" s="1011" t="s">
        <v>1659</v>
      </c>
    </row>
    <row r="1259" spans="1:6" x14ac:dyDescent="0.25">
      <c r="A1259" s="1011">
        <v>24254229</v>
      </c>
      <c r="B1259" s="1011" t="s">
        <v>4633</v>
      </c>
      <c r="C1259" s="1011" t="s">
        <v>4634</v>
      </c>
      <c r="D1259" s="1011" t="s">
        <v>1127</v>
      </c>
      <c r="E1259" s="1011" t="s">
        <v>1593</v>
      </c>
      <c r="F1259" s="1011" t="s">
        <v>1383</v>
      </c>
    </row>
    <row r="1260" spans="1:6" x14ac:dyDescent="0.25">
      <c r="A1260" s="1011">
        <v>54140900</v>
      </c>
      <c r="B1260" s="1011" t="s">
        <v>4635</v>
      </c>
      <c r="C1260" s="1011" t="s">
        <v>4636</v>
      </c>
      <c r="D1260" s="1011" t="s">
        <v>1752</v>
      </c>
      <c r="E1260" s="1011" t="s">
        <v>1588</v>
      </c>
      <c r="F1260" s="1011" t="s">
        <v>1753</v>
      </c>
    </row>
    <row r="1261" spans="1:6" x14ac:dyDescent="0.25">
      <c r="A1261" s="1011">
        <v>84123439</v>
      </c>
      <c r="B1261" s="1011" t="s">
        <v>4637</v>
      </c>
      <c r="C1261" s="1011" t="s">
        <v>1707</v>
      </c>
      <c r="D1261" s="1011" t="s">
        <v>1127</v>
      </c>
      <c r="E1261" s="1011" t="s">
        <v>1593</v>
      </c>
      <c r="F1261" s="1011" t="s">
        <v>1445</v>
      </c>
    </row>
    <row r="1262" spans="1:6" x14ac:dyDescent="0.25">
      <c r="A1262" s="1011">
        <v>84245125</v>
      </c>
      <c r="B1262" s="1011" t="s">
        <v>4638</v>
      </c>
      <c r="C1262" s="1011" t="s">
        <v>2274</v>
      </c>
      <c r="D1262" s="1011" t="s">
        <v>2275</v>
      </c>
      <c r="E1262" s="1011" t="s">
        <v>1593</v>
      </c>
      <c r="F1262" s="1011" t="s">
        <v>2276</v>
      </c>
    </row>
    <row r="1263" spans="1:6" x14ac:dyDescent="0.25">
      <c r="A1263" s="1011">
        <v>64135742</v>
      </c>
      <c r="B1263" s="1011" t="s">
        <v>4639</v>
      </c>
      <c r="C1263" s="1011" t="s">
        <v>4640</v>
      </c>
      <c r="D1263" s="1011" t="s">
        <v>1728</v>
      </c>
      <c r="E1263" s="1011" t="s">
        <v>1593</v>
      </c>
      <c r="F1263" s="1011" t="s">
        <v>1729</v>
      </c>
    </row>
    <row r="1264" spans="1:6" x14ac:dyDescent="0.25">
      <c r="A1264" s="1011">
        <v>64124175</v>
      </c>
      <c r="B1264" s="1011" t="s">
        <v>4641</v>
      </c>
      <c r="C1264" s="1011" t="s">
        <v>4642</v>
      </c>
      <c r="D1264" s="1011" t="s">
        <v>1767</v>
      </c>
      <c r="E1264" s="1011" t="s">
        <v>1593</v>
      </c>
      <c r="F1264" s="1011" t="s">
        <v>1419</v>
      </c>
    </row>
    <row r="1265" spans="1:6" x14ac:dyDescent="0.25">
      <c r="A1265" s="1011">
        <v>44125466</v>
      </c>
      <c r="B1265" s="1011" t="s">
        <v>4643</v>
      </c>
      <c r="C1265" s="1011" t="s">
        <v>4644</v>
      </c>
      <c r="D1265" s="1011" t="s">
        <v>4645</v>
      </c>
      <c r="E1265" s="1011" t="s">
        <v>1588</v>
      </c>
      <c r="F1265" s="1011" t="s">
        <v>4646</v>
      </c>
    </row>
    <row r="1266" spans="1:6" x14ac:dyDescent="0.25">
      <c r="A1266" s="1011">
        <v>24123697</v>
      </c>
      <c r="B1266" s="1011" t="s">
        <v>4647</v>
      </c>
      <c r="C1266" s="1011" t="s">
        <v>4648</v>
      </c>
      <c r="D1266" s="1011" t="s">
        <v>1127</v>
      </c>
      <c r="E1266" s="1011" t="s">
        <v>1593</v>
      </c>
      <c r="F1266" s="1011" t="s">
        <v>1375</v>
      </c>
    </row>
    <row r="1267" spans="1:6" x14ac:dyDescent="0.25">
      <c r="A1267" s="1011">
        <v>24125809</v>
      </c>
      <c r="B1267" s="1011" t="s">
        <v>4649</v>
      </c>
      <c r="C1267" s="1011" t="s">
        <v>4650</v>
      </c>
      <c r="D1267" s="1011" t="s">
        <v>2838</v>
      </c>
      <c r="E1267" s="1011" t="s">
        <v>1612</v>
      </c>
      <c r="F1267" s="1011" t="s">
        <v>2839</v>
      </c>
    </row>
    <row r="1268" spans="1:6" x14ac:dyDescent="0.25">
      <c r="A1268" s="1011">
        <v>54124656</v>
      </c>
      <c r="B1268" s="1011" t="s">
        <v>4651</v>
      </c>
      <c r="C1268" s="1011" t="s">
        <v>4652</v>
      </c>
      <c r="D1268" s="1011" t="s">
        <v>4653</v>
      </c>
      <c r="E1268" s="1011" t="s">
        <v>1593</v>
      </c>
      <c r="F1268" s="1011" t="s">
        <v>4654</v>
      </c>
    </row>
    <row r="1269" spans="1:6" x14ac:dyDescent="0.25">
      <c r="A1269" s="1011">
        <v>74125212</v>
      </c>
      <c r="B1269" s="1011" t="s">
        <v>4655</v>
      </c>
      <c r="C1269" s="1011" t="s">
        <v>4656</v>
      </c>
      <c r="D1269" s="1011" t="s">
        <v>4657</v>
      </c>
      <c r="E1269" s="1011" t="s">
        <v>1583</v>
      </c>
      <c r="F1269" s="1011" t="s">
        <v>4658</v>
      </c>
    </row>
    <row r="1270" spans="1:6" x14ac:dyDescent="0.25">
      <c r="A1270" s="1011">
        <v>84123330</v>
      </c>
      <c r="B1270" s="1011" t="s">
        <v>4659</v>
      </c>
      <c r="C1270" s="1011" t="s">
        <v>4660</v>
      </c>
      <c r="D1270" s="1011" t="s">
        <v>2503</v>
      </c>
      <c r="E1270" s="1011" t="s">
        <v>1593</v>
      </c>
      <c r="F1270" s="1011" t="s">
        <v>2504</v>
      </c>
    </row>
    <row r="1271" spans="1:6" x14ac:dyDescent="0.25">
      <c r="A1271" s="1011">
        <v>94124849</v>
      </c>
      <c r="B1271" s="1011" t="s">
        <v>4661</v>
      </c>
      <c r="C1271" s="1011" t="s">
        <v>4662</v>
      </c>
      <c r="D1271" s="1011" t="s">
        <v>4663</v>
      </c>
      <c r="E1271" s="1011" t="s">
        <v>1583</v>
      </c>
      <c r="F1271" s="1011" t="s">
        <v>4664</v>
      </c>
    </row>
    <row r="1272" spans="1:6" x14ac:dyDescent="0.25">
      <c r="A1272" s="1011">
        <v>74125279</v>
      </c>
      <c r="B1272" s="1011" t="s">
        <v>4665</v>
      </c>
      <c r="C1272" s="1011" t="s">
        <v>4666</v>
      </c>
      <c r="D1272" s="1011" t="s">
        <v>4667</v>
      </c>
      <c r="E1272" s="1011" t="s">
        <v>1588</v>
      </c>
      <c r="F1272" s="1011" t="s">
        <v>4668</v>
      </c>
    </row>
    <row r="1273" spans="1:6" x14ac:dyDescent="0.25">
      <c r="A1273" s="1011">
        <v>54126024</v>
      </c>
      <c r="B1273" s="1011" t="s">
        <v>4669</v>
      </c>
      <c r="C1273" s="1011" t="s">
        <v>4670</v>
      </c>
      <c r="D1273" s="1011" t="s">
        <v>1742</v>
      </c>
      <c r="E1273" s="1011" t="s">
        <v>1593</v>
      </c>
      <c r="F1273" s="1011" t="s">
        <v>1743</v>
      </c>
    </row>
    <row r="1274" spans="1:6" x14ac:dyDescent="0.25">
      <c r="A1274" s="1011">
        <v>4125977</v>
      </c>
      <c r="B1274" s="1011" t="s">
        <v>4671</v>
      </c>
      <c r="C1274" s="1011" t="s">
        <v>3214</v>
      </c>
      <c r="D1274" s="1011" t="s">
        <v>1125</v>
      </c>
      <c r="E1274" s="1011" t="s">
        <v>1588</v>
      </c>
      <c r="F1274" s="1011" t="s">
        <v>2944</v>
      </c>
    </row>
    <row r="1275" spans="1:6" x14ac:dyDescent="0.25">
      <c r="A1275" s="1011">
        <v>4125522</v>
      </c>
      <c r="B1275" s="1011" t="s">
        <v>4672</v>
      </c>
      <c r="C1275" s="1011" t="s">
        <v>3940</v>
      </c>
      <c r="D1275" s="1011" t="s">
        <v>2838</v>
      </c>
      <c r="E1275" s="1011" t="s">
        <v>1612</v>
      </c>
      <c r="F1275" s="1011" t="s">
        <v>2839</v>
      </c>
    </row>
    <row r="1276" spans="1:6" x14ac:dyDescent="0.25">
      <c r="A1276" s="1011">
        <v>4123451</v>
      </c>
      <c r="B1276" s="1011" t="s">
        <v>4673</v>
      </c>
      <c r="C1276" s="1011" t="s">
        <v>4674</v>
      </c>
      <c r="D1276" s="1011" t="s">
        <v>1127</v>
      </c>
      <c r="E1276" s="1011" t="s">
        <v>1593</v>
      </c>
      <c r="F1276" s="1011" t="s">
        <v>1445</v>
      </c>
    </row>
    <row r="1277" spans="1:6" x14ac:dyDescent="0.25">
      <c r="A1277" s="1011">
        <v>14237143</v>
      </c>
      <c r="B1277" s="1011" t="s">
        <v>4675</v>
      </c>
      <c r="C1277" s="1011" t="s">
        <v>4440</v>
      </c>
      <c r="D1277" s="1011" t="s">
        <v>1725</v>
      </c>
      <c r="E1277" s="1011" t="s">
        <v>1593</v>
      </c>
      <c r="F1277" s="1011" t="s">
        <v>1413</v>
      </c>
    </row>
    <row r="1278" spans="1:6" x14ac:dyDescent="0.25">
      <c r="A1278" s="1011">
        <v>14124085</v>
      </c>
      <c r="B1278" s="1011" t="s">
        <v>4676</v>
      </c>
      <c r="C1278" s="1011" t="s">
        <v>4677</v>
      </c>
      <c r="D1278" s="1011" t="s">
        <v>1127</v>
      </c>
      <c r="E1278" s="1011" t="s">
        <v>1593</v>
      </c>
      <c r="F1278" s="1011" t="s">
        <v>1383</v>
      </c>
    </row>
    <row r="1279" spans="1:6" x14ac:dyDescent="0.25">
      <c r="A1279" s="1011">
        <v>44125383</v>
      </c>
      <c r="B1279" s="1011" t="s">
        <v>4678</v>
      </c>
      <c r="C1279" s="1011" t="s">
        <v>4679</v>
      </c>
      <c r="D1279" s="1011" t="s">
        <v>3890</v>
      </c>
      <c r="E1279" s="1011" t="s">
        <v>1593</v>
      </c>
      <c r="F1279" s="1011" t="s">
        <v>3891</v>
      </c>
    </row>
    <row r="1280" spans="1:6" x14ac:dyDescent="0.25">
      <c r="A1280" s="1011">
        <v>54125661</v>
      </c>
      <c r="B1280" s="1011" t="s">
        <v>4680</v>
      </c>
      <c r="C1280" s="1011" t="s">
        <v>4681</v>
      </c>
      <c r="D1280" s="1011" t="s">
        <v>3987</v>
      </c>
      <c r="E1280" s="1011" t="s">
        <v>1612</v>
      </c>
      <c r="F1280" s="1011" t="s">
        <v>3988</v>
      </c>
    </row>
    <row r="1281" spans="1:6" x14ac:dyDescent="0.25">
      <c r="A1281" s="1011">
        <v>44124261</v>
      </c>
      <c r="B1281" s="1011" t="s">
        <v>4682</v>
      </c>
      <c r="C1281" s="1011" t="s">
        <v>4683</v>
      </c>
      <c r="D1281" s="1011" t="s">
        <v>4256</v>
      </c>
      <c r="E1281" s="1011" t="s">
        <v>1583</v>
      </c>
      <c r="F1281" s="1011" t="s">
        <v>4257</v>
      </c>
    </row>
    <row r="1282" spans="1:6" x14ac:dyDescent="0.25">
      <c r="A1282" s="1011">
        <v>84123637</v>
      </c>
      <c r="B1282" s="1011" t="s">
        <v>4684</v>
      </c>
      <c r="C1282" s="1011" t="s">
        <v>4685</v>
      </c>
      <c r="D1282" s="1011" t="s">
        <v>4686</v>
      </c>
      <c r="E1282" s="1011" t="s">
        <v>1593</v>
      </c>
      <c r="F1282" s="1011" t="s">
        <v>4687</v>
      </c>
    </row>
    <row r="1283" spans="1:6" x14ac:dyDescent="0.25">
      <c r="A1283" s="1011">
        <v>54163571</v>
      </c>
      <c r="B1283" s="1011" t="s">
        <v>2338</v>
      </c>
      <c r="C1283" s="1011" t="s">
        <v>4688</v>
      </c>
      <c r="D1283" s="1011" t="s">
        <v>1125</v>
      </c>
      <c r="E1283" s="1011" t="s">
        <v>1588</v>
      </c>
      <c r="F1283" s="1011" t="s">
        <v>1682</v>
      </c>
    </row>
    <row r="1284" spans="1:6" x14ac:dyDescent="0.25">
      <c r="A1284" s="1011">
        <v>74125493</v>
      </c>
      <c r="B1284" s="1011" t="s">
        <v>4689</v>
      </c>
      <c r="C1284" s="1011" t="s">
        <v>4690</v>
      </c>
      <c r="D1284" s="1011" t="s">
        <v>3573</v>
      </c>
      <c r="E1284" s="1011" t="s">
        <v>1588</v>
      </c>
      <c r="F1284" s="1011" t="s">
        <v>3574</v>
      </c>
    </row>
    <row r="1285" spans="1:6" x14ac:dyDescent="0.25">
      <c r="A1285" s="1011">
        <v>34232546</v>
      </c>
      <c r="B1285" s="1011" t="s">
        <v>4691</v>
      </c>
      <c r="C1285" s="1011" t="s">
        <v>4692</v>
      </c>
      <c r="D1285" s="1011" t="s">
        <v>1125</v>
      </c>
      <c r="E1285" s="1011" t="s">
        <v>1588</v>
      </c>
      <c r="F1285" s="1011" t="s">
        <v>1619</v>
      </c>
    </row>
    <row r="1286" spans="1:6" x14ac:dyDescent="0.25">
      <c r="A1286" s="1011">
        <v>74124454</v>
      </c>
      <c r="B1286" s="1011" t="s">
        <v>4693</v>
      </c>
      <c r="C1286" s="1011" t="s">
        <v>4694</v>
      </c>
      <c r="D1286" s="1011" t="s">
        <v>1602</v>
      </c>
      <c r="E1286" s="1011" t="s">
        <v>1593</v>
      </c>
      <c r="F1286" s="1011" t="s">
        <v>1417</v>
      </c>
    </row>
    <row r="1287" spans="1:6" x14ac:dyDescent="0.25">
      <c r="A1287" s="1011">
        <v>4123915</v>
      </c>
      <c r="B1287" s="1011" t="s">
        <v>4695</v>
      </c>
      <c r="C1287" s="1011" t="s">
        <v>4696</v>
      </c>
      <c r="D1287" s="1011" t="s">
        <v>2465</v>
      </c>
      <c r="E1287" s="1011" t="s">
        <v>1593</v>
      </c>
      <c r="F1287" s="1011" t="s">
        <v>2466</v>
      </c>
    </row>
    <row r="1288" spans="1:6" x14ac:dyDescent="0.25">
      <c r="A1288" s="1011">
        <v>14123715</v>
      </c>
      <c r="B1288" s="1011" t="s">
        <v>4697</v>
      </c>
      <c r="C1288" s="1011" t="s">
        <v>4698</v>
      </c>
      <c r="D1288" s="1011" t="s">
        <v>1728</v>
      </c>
      <c r="E1288" s="1011" t="s">
        <v>1593</v>
      </c>
      <c r="F1288" s="1011" t="s">
        <v>1729</v>
      </c>
    </row>
    <row r="1289" spans="1:6" x14ac:dyDescent="0.25">
      <c r="A1289" s="1011">
        <v>74219775</v>
      </c>
      <c r="B1289" s="1011" t="s">
        <v>4699</v>
      </c>
      <c r="C1289" s="1011" t="s">
        <v>4700</v>
      </c>
      <c r="D1289" s="1011" t="s">
        <v>2097</v>
      </c>
      <c r="E1289" s="1011" t="s">
        <v>1588</v>
      </c>
      <c r="F1289" s="1011" t="s">
        <v>2098</v>
      </c>
    </row>
    <row r="1290" spans="1:6" x14ac:dyDescent="0.25">
      <c r="A1290" s="1011">
        <v>54125695</v>
      </c>
      <c r="B1290" s="1011" t="s">
        <v>4701</v>
      </c>
      <c r="C1290" s="1011" t="s">
        <v>4702</v>
      </c>
      <c r="D1290" s="1011" t="s">
        <v>2228</v>
      </c>
      <c r="E1290" s="1011" t="s">
        <v>1588</v>
      </c>
      <c r="F1290" s="1011" t="s">
        <v>2229</v>
      </c>
    </row>
    <row r="1291" spans="1:6" x14ac:dyDescent="0.25">
      <c r="A1291" s="1011">
        <v>84183201</v>
      </c>
      <c r="B1291" s="1011" t="s">
        <v>4703</v>
      </c>
      <c r="C1291" s="1011" t="s">
        <v>4704</v>
      </c>
      <c r="D1291" s="1011" t="s">
        <v>3340</v>
      </c>
      <c r="E1291" s="1011" t="s">
        <v>1588</v>
      </c>
      <c r="F1291" s="1011" t="s">
        <v>1437</v>
      </c>
    </row>
    <row r="1292" spans="1:6" x14ac:dyDescent="0.25">
      <c r="A1292" s="1011">
        <v>64125602</v>
      </c>
      <c r="B1292" s="1011" t="s">
        <v>4705</v>
      </c>
      <c r="C1292" s="1011" t="s">
        <v>3236</v>
      </c>
      <c r="D1292" s="1011" t="s">
        <v>1125</v>
      </c>
      <c r="E1292" s="1011" t="s">
        <v>1588</v>
      </c>
      <c r="F1292" s="1011" t="s">
        <v>1421</v>
      </c>
    </row>
    <row r="1293" spans="1:6" x14ac:dyDescent="0.25">
      <c r="A1293" s="1011">
        <v>54124318</v>
      </c>
      <c r="B1293" s="1011" t="s">
        <v>4706</v>
      </c>
      <c r="C1293" s="1011" t="s">
        <v>4707</v>
      </c>
      <c r="D1293" s="1011" t="s">
        <v>1127</v>
      </c>
      <c r="E1293" s="1011" t="s">
        <v>1593</v>
      </c>
      <c r="F1293" s="1011" t="s">
        <v>1341</v>
      </c>
    </row>
    <row r="1294" spans="1:6" x14ac:dyDescent="0.25">
      <c r="A1294" s="1011">
        <v>14125355</v>
      </c>
      <c r="B1294" s="1011" t="s">
        <v>4708</v>
      </c>
      <c r="C1294" s="1011" t="s">
        <v>4709</v>
      </c>
      <c r="D1294" s="1011" t="s">
        <v>3987</v>
      </c>
      <c r="E1294" s="1011" t="s">
        <v>1612</v>
      </c>
      <c r="F1294" s="1011" t="s">
        <v>3988</v>
      </c>
    </row>
    <row r="1295" spans="1:6" x14ac:dyDescent="0.25">
      <c r="A1295" s="1011">
        <v>54123682</v>
      </c>
      <c r="B1295" s="1011" t="s">
        <v>4710</v>
      </c>
      <c r="C1295" s="1011" t="s">
        <v>4711</v>
      </c>
      <c r="D1295" s="1011" t="s">
        <v>1725</v>
      </c>
      <c r="E1295" s="1011" t="s">
        <v>1593</v>
      </c>
      <c r="F1295" s="1011" t="s">
        <v>1413</v>
      </c>
    </row>
    <row r="1296" spans="1:6" x14ac:dyDescent="0.25">
      <c r="A1296" s="1011">
        <v>44123800</v>
      </c>
      <c r="B1296" s="1011" t="s">
        <v>4712</v>
      </c>
      <c r="C1296" s="1011" t="s">
        <v>4713</v>
      </c>
      <c r="D1296" s="1011" t="s">
        <v>1685</v>
      </c>
      <c r="E1296" s="1011" t="s">
        <v>1593</v>
      </c>
      <c r="F1296" s="1011" t="s">
        <v>1469</v>
      </c>
    </row>
    <row r="1297" spans="1:6" x14ac:dyDescent="0.25">
      <c r="A1297" s="1011">
        <v>24242323</v>
      </c>
      <c r="B1297" s="1011" t="s">
        <v>4714</v>
      </c>
      <c r="C1297" s="1011" t="s">
        <v>4715</v>
      </c>
      <c r="D1297" s="1011" t="s">
        <v>1728</v>
      </c>
      <c r="E1297" s="1011" t="s">
        <v>1593</v>
      </c>
      <c r="F1297" s="1011" t="s">
        <v>1729</v>
      </c>
    </row>
    <row r="1298" spans="1:6" x14ac:dyDescent="0.25">
      <c r="A1298" s="1011">
        <v>34126185</v>
      </c>
      <c r="B1298" s="1011" t="s">
        <v>4716</v>
      </c>
      <c r="C1298" s="1011" t="s">
        <v>4717</v>
      </c>
      <c r="D1298" s="1011" t="s">
        <v>1644</v>
      </c>
      <c r="E1298" s="1011" t="s">
        <v>1588</v>
      </c>
      <c r="F1298" s="1011" t="s">
        <v>1645</v>
      </c>
    </row>
    <row r="1299" spans="1:6" x14ac:dyDescent="0.25">
      <c r="A1299" s="1011">
        <v>64125933</v>
      </c>
      <c r="B1299" s="1011" t="s">
        <v>4718</v>
      </c>
      <c r="C1299" s="1011" t="s">
        <v>4719</v>
      </c>
      <c r="D1299" s="1011" t="s">
        <v>4720</v>
      </c>
      <c r="E1299" s="1011" t="s">
        <v>1612</v>
      </c>
      <c r="F1299" s="1011" t="s">
        <v>4721</v>
      </c>
    </row>
    <row r="1300" spans="1:6" x14ac:dyDescent="0.25">
      <c r="A1300" s="1011">
        <v>84123801</v>
      </c>
      <c r="B1300" s="1011" t="s">
        <v>4722</v>
      </c>
      <c r="C1300" s="1011" t="s">
        <v>4723</v>
      </c>
      <c r="D1300" s="1011" t="s">
        <v>4724</v>
      </c>
      <c r="E1300" s="1011" t="s">
        <v>1593</v>
      </c>
      <c r="F1300" s="1011" t="s">
        <v>1409</v>
      </c>
    </row>
    <row r="1301" spans="1:6" x14ac:dyDescent="0.25">
      <c r="A1301" s="1011">
        <v>94125457</v>
      </c>
      <c r="B1301" s="1011" t="s">
        <v>2596</v>
      </c>
      <c r="C1301" s="1011" t="s">
        <v>4725</v>
      </c>
      <c r="D1301" s="1011" t="s">
        <v>72</v>
      </c>
      <c r="E1301" s="1011" t="s">
        <v>1612</v>
      </c>
      <c r="F1301" s="1011" t="s">
        <v>4726</v>
      </c>
    </row>
    <row r="1302" spans="1:6" x14ac:dyDescent="0.25">
      <c r="A1302" s="1011">
        <v>24125379</v>
      </c>
      <c r="B1302" s="1011" t="s">
        <v>4727</v>
      </c>
      <c r="C1302" s="1011" t="s">
        <v>4728</v>
      </c>
      <c r="D1302" s="1011" t="s">
        <v>3369</v>
      </c>
      <c r="E1302" s="1011" t="s">
        <v>1588</v>
      </c>
      <c r="F1302" s="1011" t="s">
        <v>3370</v>
      </c>
    </row>
    <row r="1303" spans="1:6" x14ac:dyDescent="0.25">
      <c r="A1303" s="1011">
        <v>4123717</v>
      </c>
      <c r="B1303" s="1011" t="s">
        <v>4729</v>
      </c>
      <c r="C1303" s="1011" t="s">
        <v>4730</v>
      </c>
      <c r="D1303" s="1011" t="s">
        <v>1127</v>
      </c>
      <c r="E1303" s="1011" t="s">
        <v>1593</v>
      </c>
      <c r="F1303" s="1011" t="s">
        <v>4731</v>
      </c>
    </row>
    <row r="1304" spans="1:6" x14ac:dyDescent="0.25">
      <c r="A1304" s="1011">
        <v>84125251</v>
      </c>
      <c r="B1304" s="1011" t="s">
        <v>4732</v>
      </c>
      <c r="C1304" s="1011" t="s">
        <v>4733</v>
      </c>
      <c r="D1304" s="1011" t="s">
        <v>2376</v>
      </c>
      <c r="E1304" s="1011" t="s">
        <v>1588</v>
      </c>
      <c r="F1304" s="1011" t="s">
        <v>2377</v>
      </c>
    </row>
    <row r="1305" spans="1:6" x14ac:dyDescent="0.25">
      <c r="A1305" s="1011">
        <v>54125257</v>
      </c>
      <c r="B1305" s="1011" t="s">
        <v>4734</v>
      </c>
      <c r="C1305" s="1011" t="s">
        <v>4735</v>
      </c>
      <c r="D1305" s="1011" t="s">
        <v>1125</v>
      </c>
      <c r="E1305" s="1011" t="s">
        <v>1588</v>
      </c>
      <c r="F1305" s="1011" t="s">
        <v>1421</v>
      </c>
    </row>
    <row r="1306" spans="1:6" x14ac:dyDescent="0.25">
      <c r="A1306" s="1011">
        <v>64124027</v>
      </c>
      <c r="B1306" s="1011" t="s">
        <v>4736</v>
      </c>
      <c r="C1306" s="1011" t="s">
        <v>2014</v>
      </c>
      <c r="D1306" s="1011" t="s">
        <v>2015</v>
      </c>
      <c r="E1306" s="1011" t="s">
        <v>1593</v>
      </c>
      <c r="F1306" s="1011" t="s">
        <v>2016</v>
      </c>
    </row>
    <row r="1307" spans="1:6" x14ac:dyDescent="0.25">
      <c r="A1307" s="1011">
        <v>94123833</v>
      </c>
      <c r="B1307" s="1011" t="s">
        <v>4737</v>
      </c>
      <c r="C1307" s="1011" t="s">
        <v>4738</v>
      </c>
      <c r="D1307" s="1011" t="s">
        <v>1710</v>
      </c>
      <c r="E1307" s="1011" t="s">
        <v>1593</v>
      </c>
      <c r="F1307" s="1011" t="s">
        <v>1711</v>
      </c>
    </row>
    <row r="1308" spans="1:6" x14ac:dyDescent="0.25">
      <c r="A1308" s="1011">
        <v>4124285</v>
      </c>
      <c r="B1308" s="1011" t="s">
        <v>4739</v>
      </c>
      <c r="C1308" s="1011" t="s">
        <v>4740</v>
      </c>
      <c r="D1308" s="1011" t="s">
        <v>4741</v>
      </c>
      <c r="E1308" s="1011" t="s">
        <v>1583</v>
      </c>
      <c r="F1308" s="1011" t="s">
        <v>4742</v>
      </c>
    </row>
    <row r="1309" spans="1:6" x14ac:dyDescent="0.25">
      <c r="A1309" s="1011">
        <v>84124056</v>
      </c>
      <c r="B1309" s="1011" t="s">
        <v>4743</v>
      </c>
      <c r="C1309" s="1011" t="s">
        <v>2458</v>
      </c>
      <c r="D1309" s="1011" t="s">
        <v>1815</v>
      </c>
      <c r="E1309" s="1011" t="s">
        <v>1593</v>
      </c>
      <c r="F1309" s="1011" t="s">
        <v>1816</v>
      </c>
    </row>
    <row r="1310" spans="1:6" x14ac:dyDescent="0.25">
      <c r="A1310" s="1011">
        <v>54124672</v>
      </c>
      <c r="B1310" s="1011" t="s">
        <v>4744</v>
      </c>
      <c r="C1310" s="1011" t="s">
        <v>1758</v>
      </c>
      <c r="D1310" s="1011" t="s">
        <v>1127</v>
      </c>
      <c r="E1310" s="1011" t="s">
        <v>1593</v>
      </c>
      <c r="F1310" s="1011" t="s">
        <v>1375</v>
      </c>
    </row>
    <row r="1311" spans="1:6" x14ac:dyDescent="0.25">
      <c r="A1311" s="1011">
        <v>4163838</v>
      </c>
      <c r="B1311" s="1011" t="s">
        <v>4745</v>
      </c>
      <c r="C1311" s="1011" t="s">
        <v>3402</v>
      </c>
      <c r="D1311" s="1011" t="s">
        <v>1909</v>
      </c>
      <c r="E1311" s="1011" t="s">
        <v>1588</v>
      </c>
      <c r="F1311" s="1011" t="s">
        <v>1910</v>
      </c>
    </row>
    <row r="1312" spans="1:6" x14ac:dyDescent="0.25">
      <c r="A1312" s="1011">
        <v>44126084</v>
      </c>
      <c r="B1312" s="1011" t="s">
        <v>4746</v>
      </c>
      <c r="C1312" s="1011" t="s">
        <v>4747</v>
      </c>
      <c r="D1312" s="1011" t="s">
        <v>1125</v>
      </c>
      <c r="E1312" s="1011" t="s">
        <v>1588</v>
      </c>
      <c r="F1312" s="1011" t="s">
        <v>1682</v>
      </c>
    </row>
    <row r="1313" spans="1:6" x14ac:dyDescent="0.25">
      <c r="A1313" s="1011">
        <v>34123638</v>
      </c>
      <c r="B1313" s="1011" t="s">
        <v>4748</v>
      </c>
      <c r="C1313" s="1011" t="s">
        <v>4749</v>
      </c>
      <c r="D1313" s="1011" t="s">
        <v>1127</v>
      </c>
      <c r="E1313" s="1011" t="s">
        <v>1593</v>
      </c>
      <c r="F1313" s="1011" t="s">
        <v>1445</v>
      </c>
    </row>
    <row r="1314" spans="1:6" x14ac:dyDescent="0.25">
      <c r="A1314" s="1011">
        <v>64123664</v>
      </c>
      <c r="B1314" s="1011" t="s">
        <v>4750</v>
      </c>
      <c r="C1314" s="1011" t="s">
        <v>4751</v>
      </c>
      <c r="D1314" s="1011" t="s">
        <v>4752</v>
      </c>
      <c r="E1314" s="1011" t="s">
        <v>1593</v>
      </c>
      <c r="F1314" s="1011" t="s">
        <v>1415</v>
      </c>
    </row>
    <row r="1315" spans="1:6" x14ac:dyDescent="0.25">
      <c r="A1315" s="1011">
        <v>64124449</v>
      </c>
      <c r="B1315" s="1011" t="s">
        <v>4753</v>
      </c>
      <c r="C1315" s="1011" t="s">
        <v>4754</v>
      </c>
      <c r="D1315" s="1011" t="s">
        <v>2251</v>
      </c>
      <c r="E1315" s="1011" t="s">
        <v>1593</v>
      </c>
      <c r="F1315" s="1011" t="s">
        <v>2252</v>
      </c>
    </row>
    <row r="1316" spans="1:6" x14ac:dyDescent="0.25">
      <c r="A1316" s="1011">
        <v>4222451</v>
      </c>
      <c r="B1316" s="1011" t="s">
        <v>4755</v>
      </c>
      <c r="C1316" s="1011" t="s">
        <v>4756</v>
      </c>
      <c r="D1316" s="1011" t="s">
        <v>4757</v>
      </c>
      <c r="E1316" s="1011" t="s">
        <v>1588</v>
      </c>
      <c r="F1316" s="1011" t="s">
        <v>4758</v>
      </c>
    </row>
    <row r="1317" spans="1:6" x14ac:dyDescent="0.25">
      <c r="A1317" s="1011">
        <v>74124603</v>
      </c>
      <c r="B1317" s="1011" t="s">
        <v>4759</v>
      </c>
      <c r="C1317" s="1011" t="s">
        <v>4760</v>
      </c>
      <c r="D1317" s="1011" t="s">
        <v>3691</v>
      </c>
      <c r="E1317" s="1011" t="s">
        <v>1593</v>
      </c>
      <c r="F1317" s="1011" t="s">
        <v>1455</v>
      </c>
    </row>
    <row r="1318" spans="1:6" x14ac:dyDescent="0.25">
      <c r="A1318" s="1011">
        <v>24123978</v>
      </c>
      <c r="B1318" s="1011" t="s">
        <v>4761</v>
      </c>
      <c r="C1318" s="1011" t="s">
        <v>4762</v>
      </c>
      <c r="D1318" s="1011" t="s">
        <v>1127</v>
      </c>
      <c r="E1318" s="1011" t="s">
        <v>1593</v>
      </c>
      <c r="F1318" s="1011" t="s">
        <v>1383</v>
      </c>
    </row>
    <row r="1319" spans="1:6" x14ac:dyDescent="0.25">
      <c r="A1319" s="1011">
        <v>84125798</v>
      </c>
      <c r="B1319" s="1011" t="s">
        <v>4763</v>
      </c>
      <c r="C1319" s="1011" t="s">
        <v>4764</v>
      </c>
      <c r="D1319" s="1011" t="s">
        <v>3369</v>
      </c>
      <c r="E1319" s="1011" t="s">
        <v>1588</v>
      </c>
      <c r="F1319" s="1011" t="s">
        <v>3370</v>
      </c>
    </row>
    <row r="1320" spans="1:6" x14ac:dyDescent="0.25">
      <c r="A1320" s="1011">
        <v>24163826</v>
      </c>
      <c r="B1320" s="1011" t="s">
        <v>4765</v>
      </c>
      <c r="C1320" s="1011" t="s">
        <v>4766</v>
      </c>
      <c r="D1320" s="1011" t="s">
        <v>4382</v>
      </c>
      <c r="E1320" s="1011" t="s">
        <v>1588</v>
      </c>
      <c r="F1320" s="1011" t="s">
        <v>4383</v>
      </c>
    </row>
    <row r="1321" spans="1:6" x14ac:dyDescent="0.25">
      <c r="A1321" s="1011">
        <v>14125264</v>
      </c>
      <c r="B1321" s="1011" t="s">
        <v>4767</v>
      </c>
      <c r="C1321" s="1011" t="s">
        <v>4768</v>
      </c>
      <c r="D1321" s="1011" t="s">
        <v>4769</v>
      </c>
      <c r="E1321" s="1011" t="s">
        <v>1588</v>
      </c>
      <c r="F1321" s="1011" t="s">
        <v>4770</v>
      </c>
    </row>
    <row r="1322" spans="1:6" x14ac:dyDescent="0.25">
      <c r="A1322" s="1011">
        <v>14125496</v>
      </c>
      <c r="B1322" s="1011" t="s">
        <v>4771</v>
      </c>
      <c r="C1322" s="1011" t="s">
        <v>4772</v>
      </c>
      <c r="D1322" s="1011" t="s">
        <v>1943</v>
      </c>
      <c r="E1322" s="1011" t="s">
        <v>1588</v>
      </c>
      <c r="F1322" s="1011" t="s">
        <v>1944</v>
      </c>
    </row>
    <row r="1323" spans="1:6" x14ac:dyDescent="0.25">
      <c r="A1323" s="1011">
        <v>54125760</v>
      </c>
      <c r="B1323" s="1011" t="s">
        <v>4773</v>
      </c>
      <c r="C1323" s="1011" t="s">
        <v>4774</v>
      </c>
      <c r="D1323" s="1011" t="s">
        <v>1776</v>
      </c>
      <c r="E1323" s="1011" t="s">
        <v>1612</v>
      </c>
      <c r="F1323" s="1011" t="s">
        <v>1777</v>
      </c>
    </row>
    <row r="1324" spans="1:6" x14ac:dyDescent="0.25">
      <c r="A1324" s="1011">
        <v>74255191</v>
      </c>
      <c r="B1324" s="1011" t="s">
        <v>4775</v>
      </c>
      <c r="C1324" s="1011" t="s">
        <v>4776</v>
      </c>
      <c r="D1324" s="1011" t="s">
        <v>1804</v>
      </c>
      <c r="E1324" s="1011" t="s">
        <v>1588</v>
      </c>
      <c r="F1324" s="1011" t="s">
        <v>1805</v>
      </c>
    </row>
    <row r="1325" spans="1:6" x14ac:dyDescent="0.25">
      <c r="A1325" s="1011">
        <v>54123872</v>
      </c>
      <c r="B1325" s="1011" t="s">
        <v>4777</v>
      </c>
      <c r="C1325" s="1011" t="s">
        <v>4778</v>
      </c>
      <c r="D1325" s="1011" t="s">
        <v>4265</v>
      </c>
      <c r="E1325" s="1011" t="s">
        <v>1593</v>
      </c>
      <c r="F1325" s="1011" t="s">
        <v>4266</v>
      </c>
    </row>
    <row r="1326" spans="1:6" x14ac:dyDescent="0.25">
      <c r="A1326" s="1011">
        <v>84123579</v>
      </c>
      <c r="B1326" s="1011" t="s">
        <v>4779</v>
      </c>
      <c r="C1326" s="1011" t="s">
        <v>4780</v>
      </c>
      <c r="D1326" s="1011" t="s">
        <v>1127</v>
      </c>
      <c r="E1326" s="1011" t="s">
        <v>1593</v>
      </c>
      <c r="F1326" s="1011" t="s">
        <v>1445</v>
      </c>
    </row>
    <row r="1327" spans="1:6" x14ac:dyDescent="0.25">
      <c r="A1327" s="1011">
        <v>4145629</v>
      </c>
      <c r="B1327" s="1011" t="s">
        <v>4781</v>
      </c>
      <c r="C1327" s="1011" t="s">
        <v>4782</v>
      </c>
      <c r="D1327" s="1011" t="s">
        <v>4783</v>
      </c>
      <c r="E1327" s="1011" t="s">
        <v>1593</v>
      </c>
      <c r="F1327" s="1011" t="s">
        <v>4784</v>
      </c>
    </row>
    <row r="1328" spans="1:6" x14ac:dyDescent="0.25">
      <c r="A1328" s="1011">
        <v>4123592</v>
      </c>
      <c r="B1328" s="1011" t="s">
        <v>4785</v>
      </c>
      <c r="C1328" s="1011" t="s">
        <v>4389</v>
      </c>
      <c r="D1328" s="1011" t="s">
        <v>1685</v>
      </c>
      <c r="E1328" s="1011" t="s">
        <v>1593</v>
      </c>
      <c r="F1328" s="1011" t="s">
        <v>1469</v>
      </c>
    </row>
    <row r="1329" spans="1:6" x14ac:dyDescent="0.25">
      <c r="A1329" s="1011">
        <v>84225762</v>
      </c>
      <c r="B1329" s="1011" t="s">
        <v>4786</v>
      </c>
      <c r="C1329" s="1011" t="s">
        <v>4787</v>
      </c>
      <c r="D1329" s="1011" t="s">
        <v>1679</v>
      </c>
      <c r="E1329" s="1011" t="s">
        <v>1588</v>
      </c>
      <c r="F1329" s="1011" t="s">
        <v>1427</v>
      </c>
    </row>
    <row r="1330" spans="1:6" x14ac:dyDescent="0.25">
      <c r="A1330" s="1011">
        <v>74125246</v>
      </c>
      <c r="B1330" s="1011" t="s">
        <v>4788</v>
      </c>
      <c r="C1330" s="1011" t="s">
        <v>4789</v>
      </c>
      <c r="D1330" s="1011" t="s">
        <v>2394</v>
      </c>
      <c r="E1330" s="1011" t="s">
        <v>1588</v>
      </c>
      <c r="F1330" s="1011" t="s">
        <v>2395</v>
      </c>
    </row>
    <row r="1331" spans="1:6" x14ac:dyDescent="0.25">
      <c r="A1331" s="1011">
        <v>84142082</v>
      </c>
      <c r="B1331" s="1011" t="s">
        <v>4790</v>
      </c>
      <c r="C1331" s="1011" t="s">
        <v>4791</v>
      </c>
      <c r="D1331" s="1011" t="s">
        <v>1983</v>
      </c>
      <c r="E1331" s="1011" t="s">
        <v>1583</v>
      </c>
      <c r="F1331" s="1011" t="s">
        <v>1984</v>
      </c>
    </row>
    <row r="1332" spans="1:6" x14ac:dyDescent="0.25">
      <c r="A1332" s="1011">
        <v>4125597</v>
      </c>
      <c r="B1332" s="1011" t="s">
        <v>4792</v>
      </c>
      <c r="C1332" s="1011" t="s">
        <v>4793</v>
      </c>
      <c r="D1332" s="1011" t="s">
        <v>2394</v>
      </c>
      <c r="E1332" s="1011" t="s">
        <v>1588</v>
      </c>
      <c r="F1332" s="1011" t="s">
        <v>2395</v>
      </c>
    </row>
    <row r="1333" spans="1:6" x14ac:dyDescent="0.25">
      <c r="A1333" s="1011">
        <v>74125808</v>
      </c>
      <c r="B1333" s="1011" t="s">
        <v>4794</v>
      </c>
      <c r="C1333" s="1011" t="s">
        <v>4793</v>
      </c>
      <c r="D1333" s="1011" t="s">
        <v>2394</v>
      </c>
      <c r="E1333" s="1011" t="s">
        <v>1588</v>
      </c>
      <c r="F1333" s="1011" t="s">
        <v>2395</v>
      </c>
    </row>
    <row r="1334" spans="1:6" x14ac:dyDescent="0.25">
      <c r="A1334" s="1011">
        <v>44124402</v>
      </c>
      <c r="B1334" s="1011" t="s">
        <v>4795</v>
      </c>
      <c r="C1334" s="1011" t="s">
        <v>4796</v>
      </c>
      <c r="D1334" s="1011" t="s">
        <v>2206</v>
      </c>
      <c r="E1334" s="1011" t="s">
        <v>1593</v>
      </c>
      <c r="F1334" s="1011" t="s">
        <v>2207</v>
      </c>
    </row>
    <row r="1335" spans="1:6" x14ac:dyDescent="0.25">
      <c r="A1335" s="1011">
        <v>34123471</v>
      </c>
      <c r="B1335" s="1011" t="s">
        <v>4797</v>
      </c>
      <c r="C1335" s="1011" t="s">
        <v>4798</v>
      </c>
      <c r="D1335" s="1011" t="s">
        <v>1127</v>
      </c>
      <c r="E1335" s="1011" t="s">
        <v>1593</v>
      </c>
      <c r="F1335" s="1011" t="s">
        <v>1449</v>
      </c>
    </row>
    <row r="1336" spans="1:6" x14ac:dyDescent="0.25">
      <c r="A1336" s="1011">
        <v>74125287</v>
      </c>
      <c r="B1336" s="1011" t="s">
        <v>4799</v>
      </c>
      <c r="C1336" s="1011" t="s">
        <v>4800</v>
      </c>
      <c r="D1336" s="1011" t="s">
        <v>1668</v>
      </c>
      <c r="E1336" s="1011" t="s">
        <v>1588</v>
      </c>
      <c r="F1336" s="1011" t="s">
        <v>1783</v>
      </c>
    </row>
    <row r="1337" spans="1:6" x14ac:dyDescent="0.25">
      <c r="A1337" s="1011">
        <v>14140412</v>
      </c>
      <c r="B1337" s="1011" t="s">
        <v>4801</v>
      </c>
      <c r="C1337" s="1011" t="s">
        <v>4802</v>
      </c>
      <c r="D1337" s="1011" t="s">
        <v>4256</v>
      </c>
      <c r="E1337" s="1011" t="s">
        <v>1583</v>
      </c>
      <c r="F1337" s="1011" t="s">
        <v>4257</v>
      </c>
    </row>
    <row r="1338" spans="1:6" x14ac:dyDescent="0.25">
      <c r="A1338" s="1011">
        <v>54163142</v>
      </c>
      <c r="B1338" s="1011" t="s">
        <v>4803</v>
      </c>
      <c r="C1338" s="1011" t="s">
        <v>4804</v>
      </c>
      <c r="D1338" s="1011" t="s">
        <v>1127</v>
      </c>
      <c r="E1338" s="1011" t="s">
        <v>1593</v>
      </c>
      <c r="F1338" s="1011" t="s">
        <v>1375</v>
      </c>
    </row>
    <row r="1339" spans="1:6" x14ac:dyDescent="0.25">
      <c r="A1339" s="1011">
        <v>4123881</v>
      </c>
      <c r="B1339" s="1011" t="s">
        <v>4805</v>
      </c>
      <c r="C1339" s="1011" t="s">
        <v>4806</v>
      </c>
      <c r="D1339" s="1011" t="s">
        <v>1127</v>
      </c>
      <c r="E1339" s="1011" t="s">
        <v>1593</v>
      </c>
      <c r="F1339" s="1011" t="s">
        <v>1461</v>
      </c>
    </row>
    <row r="1340" spans="1:6" x14ac:dyDescent="0.25">
      <c r="A1340" s="1011">
        <v>44125623</v>
      </c>
      <c r="B1340" s="1011" t="s">
        <v>4807</v>
      </c>
      <c r="C1340" s="1011" t="s">
        <v>4808</v>
      </c>
      <c r="D1340" s="1011" t="s">
        <v>1804</v>
      </c>
      <c r="E1340" s="1011" t="s">
        <v>1588</v>
      </c>
      <c r="F1340" s="1011" t="s">
        <v>1805</v>
      </c>
    </row>
    <row r="1341" spans="1:6" x14ac:dyDescent="0.25">
      <c r="A1341" s="1011">
        <v>4124905</v>
      </c>
      <c r="B1341" s="1011" t="s">
        <v>4809</v>
      </c>
      <c r="C1341" s="1011" t="s">
        <v>4810</v>
      </c>
      <c r="D1341" s="1011" t="s">
        <v>1773</v>
      </c>
      <c r="E1341" s="1011" t="s">
        <v>1583</v>
      </c>
      <c r="F1341" s="1011" t="s">
        <v>1435</v>
      </c>
    </row>
    <row r="1342" spans="1:6" x14ac:dyDescent="0.25">
      <c r="A1342" s="1011">
        <v>64125354</v>
      </c>
      <c r="B1342" s="1011" t="s">
        <v>4811</v>
      </c>
      <c r="C1342" s="1011" t="s">
        <v>4812</v>
      </c>
      <c r="D1342" s="1011" t="s">
        <v>72</v>
      </c>
      <c r="E1342" s="1011" t="s">
        <v>1612</v>
      </c>
      <c r="F1342" s="1011" t="s">
        <v>1714</v>
      </c>
    </row>
    <row r="1343" spans="1:6" x14ac:dyDescent="0.25">
      <c r="A1343" s="1011">
        <v>54125984</v>
      </c>
      <c r="B1343" s="1011" t="s">
        <v>4813</v>
      </c>
      <c r="C1343" s="1011" t="s">
        <v>4814</v>
      </c>
      <c r="D1343" s="1011" t="s">
        <v>1125</v>
      </c>
      <c r="E1343" s="1011" t="s">
        <v>1588</v>
      </c>
      <c r="F1343" s="1011" t="s">
        <v>1619</v>
      </c>
    </row>
    <row r="1344" spans="1:6" x14ac:dyDescent="0.25">
      <c r="A1344" s="1011">
        <v>24125718</v>
      </c>
      <c r="B1344" s="1011" t="s">
        <v>4815</v>
      </c>
      <c r="C1344" s="1011" t="s">
        <v>4816</v>
      </c>
      <c r="D1344" s="1011" t="s">
        <v>4817</v>
      </c>
      <c r="E1344" s="1011" t="s">
        <v>1588</v>
      </c>
      <c r="F1344" s="1011" t="s">
        <v>4818</v>
      </c>
    </row>
    <row r="1345" spans="1:6" x14ac:dyDescent="0.25">
      <c r="A1345" s="1011">
        <v>14124200</v>
      </c>
      <c r="B1345" s="1011" t="s">
        <v>4819</v>
      </c>
      <c r="C1345" s="1011" t="s">
        <v>4820</v>
      </c>
      <c r="D1345" s="1011" t="s">
        <v>4821</v>
      </c>
      <c r="E1345" s="1011" t="s">
        <v>1593</v>
      </c>
      <c r="F1345" s="1011" t="s">
        <v>1339</v>
      </c>
    </row>
    <row r="1346" spans="1:6" x14ac:dyDescent="0.25">
      <c r="A1346" s="1011">
        <v>34125559</v>
      </c>
      <c r="B1346" s="1011" t="s">
        <v>4822</v>
      </c>
      <c r="C1346" s="1011" t="s">
        <v>4823</v>
      </c>
      <c r="D1346" s="1011" t="s">
        <v>1611</v>
      </c>
      <c r="E1346" s="1011" t="s">
        <v>1612</v>
      </c>
      <c r="F1346" s="1011" t="s">
        <v>1613</v>
      </c>
    </row>
    <row r="1347" spans="1:6" x14ac:dyDescent="0.25">
      <c r="A1347" s="1011">
        <v>14124390</v>
      </c>
      <c r="B1347" s="1011" t="s">
        <v>4824</v>
      </c>
      <c r="C1347" s="1011" t="s">
        <v>4825</v>
      </c>
      <c r="D1347" s="1011" t="s">
        <v>2692</v>
      </c>
      <c r="E1347" s="1011" t="s">
        <v>1583</v>
      </c>
      <c r="F1347" s="1011" t="s">
        <v>2693</v>
      </c>
    </row>
    <row r="1348" spans="1:6" x14ac:dyDescent="0.25">
      <c r="A1348" s="1011">
        <v>44125219</v>
      </c>
      <c r="B1348" s="1011" t="s">
        <v>4826</v>
      </c>
      <c r="C1348" s="1011" t="s">
        <v>4827</v>
      </c>
      <c r="D1348" s="1011" t="s">
        <v>2390</v>
      </c>
      <c r="E1348" s="1011" t="s">
        <v>1583</v>
      </c>
      <c r="F1348" s="1011" t="s">
        <v>2391</v>
      </c>
    </row>
    <row r="1349" spans="1:6" x14ac:dyDescent="0.25">
      <c r="A1349" s="1011">
        <v>64125735</v>
      </c>
      <c r="B1349" s="1011" t="s">
        <v>4828</v>
      </c>
      <c r="C1349" s="1011" t="s">
        <v>3712</v>
      </c>
      <c r="D1349" s="1011" t="s">
        <v>1792</v>
      </c>
      <c r="E1349" s="1011" t="s">
        <v>1588</v>
      </c>
      <c r="F1349" s="1011" t="s">
        <v>1793</v>
      </c>
    </row>
    <row r="1350" spans="1:6" x14ac:dyDescent="0.25">
      <c r="A1350" s="1011">
        <v>94124864</v>
      </c>
      <c r="B1350" s="1011" t="s">
        <v>4829</v>
      </c>
      <c r="C1350" s="1011" t="s">
        <v>4830</v>
      </c>
      <c r="D1350" s="1011" t="s">
        <v>2279</v>
      </c>
      <c r="E1350" s="1011" t="s">
        <v>1583</v>
      </c>
      <c r="F1350" s="1011" t="s">
        <v>2280</v>
      </c>
    </row>
    <row r="1351" spans="1:6" x14ac:dyDescent="0.25">
      <c r="A1351" s="1011">
        <v>34124545</v>
      </c>
      <c r="B1351" s="1011" t="s">
        <v>4831</v>
      </c>
      <c r="C1351" s="1011" t="s">
        <v>4832</v>
      </c>
      <c r="D1351" s="1011" t="s">
        <v>2613</v>
      </c>
      <c r="E1351" s="1011" t="s">
        <v>1593</v>
      </c>
      <c r="F1351" s="1011" t="s">
        <v>1447</v>
      </c>
    </row>
    <row r="1352" spans="1:6" x14ac:dyDescent="0.25">
      <c r="A1352" s="1011">
        <v>4125316</v>
      </c>
      <c r="B1352" s="1011" t="s">
        <v>4833</v>
      </c>
      <c r="C1352" s="1011" t="s">
        <v>4834</v>
      </c>
      <c r="D1352" s="1011" t="s">
        <v>4835</v>
      </c>
      <c r="E1352" s="1011" t="s">
        <v>1588</v>
      </c>
      <c r="F1352" s="1011" t="s">
        <v>4836</v>
      </c>
    </row>
    <row r="1353" spans="1:6" x14ac:dyDescent="0.25">
      <c r="A1353" s="1011">
        <v>24124620</v>
      </c>
      <c r="B1353" s="1011" t="s">
        <v>4837</v>
      </c>
      <c r="C1353" s="1011" t="s">
        <v>4838</v>
      </c>
      <c r="D1353" s="1011" t="s">
        <v>1602</v>
      </c>
      <c r="E1353" s="1011" t="s">
        <v>1593</v>
      </c>
      <c r="F1353" s="1011" t="s">
        <v>1417</v>
      </c>
    </row>
    <row r="1354" spans="1:6" x14ac:dyDescent="0.25">
      <c r="A1354" s="1011">
        <v>14124242</v>
      </c>
      <c r="B1354" s="1011" t="s">
        <v>4839</v>
      </c>
      <c r="C1354" s="1011" t="s">
        <v>4840</v>
      </c>
      <c r="D1354" s="1011" t="s">
        <v>4841</v>
      </c>
      <c r="E1354" s="1011" t="s">
        <v>1588</v>
      </c>
      <c r="F1354" s="1011" t="s">
        <v>4842</v>
      </c>
    </row>
    <row r="1355" spans="1:6" x14ac:dyDescent="0.25">
      <c r="A1355" s="1011">
        <v>74123993</v>
      </c>
      <c r="B1355" s="1011" t="s">
        <v>4843</v>
      </c>
      <c r="C1355" s="1011" t="s">
        <v>4844</v>
      </c>
      <c r="D1355" s="1011" t="s">
        <v>1127</v>
      </c>
      <c r="E1355" s="1011" t="s">
        <v>1593</v>
      </c>
      <c r="F1355" s="1011" t="s">
        <v>1383</v>
      </c>
    </row>
    <row r="1356" spans="1:6" x14ac:dyDescent="0.25">
      <c r="A1356" s="1011">
        <v>64125198</v>
      </c>
      <c r="B1356" s="1011" t="s">
        <v>4845</v>
      </c>
      <c r="C1356" s="1011" t="s">
        <v>4846</v>
      </c>
      <c r="D1356" s="1011" t="s">
        <v>4847</v>
      </c>
      <c r="E1356" s="1011" t="s">
        <v>1583</v>
      </c>
      <c r="F1356" s="1011" t="s">
        <v>4848</v>
      </c>
    </row>
    <row r="1357" spans="1:6" x14ac:dyDescent="0.25">
      <c r="A1357" s="1011">
        <v>44125938</v>
      </c>
      <c r="B1357" s="1011" t="s">
        <v>4849</v>
      </c>
      <c r="C1357" s="1011" t="s">
        <v>4850</v>
      </c>
      <c r="D1357" s="1011" t="s">
        <v>3081</v>
      </c>
      <c r="E1357" s="1011" t="s">
        <v>1612</v>
      </c>
      <c r="F1357" s="1011" t="s">
        <v>3082</v>
      </c>
    </row>
    <row r="1358" spans="1:6" x14ac:dyDescent="0.25">
      <c r="A1358" s="1011">
        <v>84124643</v>
      </c>
      <c r="B1358" s="1011" t="s">
        <v>4851</v>
      </c>
      <c r="C1358" s="1011" t="s">
        <v>4018</v>
      </c>
      <c r="D1358" s="1011" t="s">
        <v>4019</v>
      </c>
      <c r="E1358" s="1011" t="s">
        <v>1583</v>
      </c>
      <c r="F1358" s="1011" t="s">
        <v>4020</v>
      </c>
    </row>
    <row r="1359" spans="1:6" x14ac:dyDescent="0.25">
      <c r="A1359" s="1011">
        <v>84124700</v>
      </c>
      <c r="B1359" s="1011" t="s">
        <v>4852</v>
      </c>
      <c r="C1359" s="1011" t="s">
        <v>4853</v>
      </c>
      <c r="D1359" s="1011" t="s">
        <v>1599</v>
      </c>
      <c r="E1359" s="1011" t="s">
        <v>1593</v>
      </c>
      <c r="F1359" s="1011" t="s">
        <v>1377</v>
      </c>
    </row>
    <row r="1360" spans="1:6" x14ac:dyDescent="0.25">
      <c r="A1360" s="1011">
        <v>84125509</v>
      </c>
      <c r="B1360" s="1011" t="s">
        <v>4854</v>
      </c>
      <c r="C1360" s="1011" t="s">
        <v>4855</v>
      </c>
      <c r="D1360" s="1011" t="s">
        <v>1668</v>
      </c>
      <c r="E1360" s="1011" t="s">
        <v>1588</v>
      </c>
      <c r="F1360" s="1011" t="s">
        <v>1669</v>
      </c>
    </row>
    <row r="1361" spans="1:6" x14ac:dyDescent="0.25">
      <c r="A1361" s="1011">
        <v>74124447</v>
      </c>
      <c r="B1361" s="1011" t="s">
        <v>4856</v>
      </c>
      <c r="C1361" s="1011" t="s">
        <v>4857</v>
      </c>
      <c r="D1361" s="1011" t="s">
        <v>2511</v>
      </c>
      <c r="E1361" s="1011" t="s">
        <v>1583</v>
      </c>
      <c r="F1361" s="1011" t="s">
        <v>2512</v>
      </c>
    </row>
    <row r="1362" spans="1:6" x14ac:dyDescent="0.25">
      <c r="A1362" s="1011">
        <v>4123360</v>
      </c>
      <c r="B1362" s="1011" t="s">
        <v>4858</v>
      </c>
      <c r="C1362" s="1011" t="s">
        <v>4859</v>
      </c>
      <c r="D1362" s="1011" t="s">
        <v>1756</v>
      </c>
      <c r="E1362" s="1011" t="s">
        <v>1593</v>
      </c>
      <c r="F1362" s="1011" t="s">
        <v>1429</v>
      </c>
    </row>
    <row r="1363" spans="1:6" x14ac:dyDescent="0.25">
      <c r="A1363" s="1011">
        <v>54123690</v>
      </c>
      <c r="B1363" s="1011" t="s">
        <v>4860</v>
      </c>
      <c r="C1363" s="1011" t="s">
        <v>4861</v>
      </c>
      <c r="D1363" s="1011" t="s">
        <v>2251</v>
      </c>
      <c r="E1363" s="1011" t="s">
        <v>1593</v>
      </c>
      <c r="F1363" s="1011" t="s">
        <v>2252</v>
      </c>
    </row>
    <row r="1364" spans="1:6" x14ac:dyDescent="0.25">
      <c r="A1364" s="1011">
        <v>44123792</v>
      </c>
      <c r="B1364" s="1011" t="s">
        <v>4862</v>
      </c>
      <c r="C1364" s="1011" t="s">
        <v>4863</v>
      </c>
      <c r="D1364" s="1011" t="s">
        <v>1728</v>
      </c>
      <c r="E1364" s="1011" t="s">
        <v>1593</v>
      </c>
      <c r="F1364" s="1011" t="s">
        <v>1729</v>
      </c>
    </row>
    <row r="1365" spans="1:6" x14ac:dyDescent="0.25">
      <c r="A1365" s="1011">
        <v>74123639</v>
      </c>
      <c r="B1365" s="1011" t="s">
        <v>4864</v>
      </c>
      <c r="C1365" s="1011" t="s">
        <v>4865</v>
      </c>
      <c r="D1365" s="1011" t="s">
        <v>1127</v>
      </c>
      <c r="E1365" s="1011" t="s">
        <v>1593</v>
      </c>
      <c r="F1365" s="1011" t="s">
        <v>1449</v>
      </c>
    </row>
    <row r="1366" spans="1:6" x14ac:dyDescent="0.25">
      <c r="A1366" s="1011">
        <v>44124410</v>
      </c>
      <c r="B1366" s="1011" t="s">
        <v>4866</v>
      </c>
      <c r="C1366" s="1011" t="s">
        <v>4867</v>
      </c>
      <c r="D1366" s="1011" t="s">
        <v>1892</v>
      </c>
      <c r="E1366" s="1011" t="s">
        <v>1583</v>
      </c>
      <c r="F1366" s="1011" t="s">
        <v>1371</v>
      </c>
    </row>
    <row r="1367" spans="1:6" x14ac:dyDescent="0.25">
      <c r="A1367" s="1011">
        <v>74124421</v>
      </c>
      <c r="B1367" s="1011" t="s">
        <v>4868</v>
      </c>
      <c r="C1367" s="1011" t="s">
        <v>3617</v>
      </c>
      <c r="D1367" s="1011" t="s">
        <v>1127</v>
      </c>
      <c r="E1367" s="1011" t="s">
        <v>1593</v>
      </c>
      <c r="F1367" s="1011" t="s">
        <v>1383</v>
      </c>
    </row>
    <row r="1368" spans="1:6" x14ac:dyDescent="0.25">
      <c r="A1368" s="1011">
        <v>84125475</v>
      </c>
      <c r="B1368" s="1011" t="s">
        <v>4869</v>
      </c>
      <c r="C1368" s="1011" t="s">
        <v>4870</v>
      </c>
      <c r="D1368" s="1011" t="s">
        <v>4871</v>
      </c>
      <c r="E1368" s="1011" t="s">
        <v>1588</v>
      </c>
      <c r="F1368" s="1011" t="s">
        <v>4872</v>
      </c>
    </row>
    <row r="1369" spans="1:6" x14ac:dyDescent="0.25">
      <c r="A1369" s="1011">
        <v>94182698</v>
      </c>
      <c r="B1369" s="1011" t="s">
        <v>3101</v>
      </c>
      <c r="C1369" s="1011" t="s">
        <v>4873</v>
      </c>
      <c r="D1369" s="1011" t="s">
        <v>1127</v>
      </c>
      <c r="E1369" s="1011" t="s">
        <v>1593</v>
      </c>
      <c r="F1369" s="1011" t="s">
        <v>1383</v>
      </c>
    </row>
    <row r="1370" spans="1:6" x14ac:dyDescent="0.25">
      <c r="A1370" s="1011">
        <v>54124714</v>
      </c>
      <c r="B1370" s="1011" t="s">
        <v>4874</v>
      </c>
      <c r="C1370" s="1011" t="s">
        <v>4875</v>
      </c>
      <c r="D1370" s="1011" t="s">
        <v>47</v>
      </c>
      <c r="E1370" s="1011" t="s">
        <v>1593</v>
      </c>
      <c r="F1370" s="1011" t="s">
        <v>3058</v>
      </c>
    </row>
    <row r="1371" spans="1:6" x14ac:dyDescent="0.25">
      <c r="A1371" s="1011">
        <v>44235141</v>
      </c>
      <c r="B1371" s="1011" t="s">
        <v>4876</v>
      </c>
      <c r="C1371" s="1011" t="s">
        <v>2982</v>
      </c>
      <c r="D1371" s="1011" t="s">
        <v>1780</v>
      </c>
      <c r="E1371" s="1011" t="s">
        <v>1593</v>
      </c>
      <c r="F1371" s="1011" t="s">
        <v>1443</v>
      </c>
    </row>
    <row r="1372" spans="1:6" x14ac:dyDescent="0.25">
      <c r="A1372" s="1011">
        <v>74172719</v>
      </c>
      <c r="B1372" s="1011" t="s">
        <v>4877</v>
      </c>
      <c r="C1372" s="1011" t="s">
        <v>4878</v>
      </c>
      <c r="D1372" s="1011" t="s">
        <v>3249</v>
      </c>
      <c r="E1372" s="1011" t="s">
        <v>1593</v>
      </c>
      <c r="F1372" s="1011" t="s">
        <v>2408</v>
      </c>
    </row>
    <row r="1373" spans="1:6" x14ac:dyDescent="0.25">
      <c r="A1373" s="1011">
        <v>74124561</v>
      </c>
      <c r="B1373" s="1011" t="s">
        <v>2750</v>
      </c>
      <c r="C1373" s="1011" t="s">
        <v>4334</v>
      </c>
      <c r="D1373" s="1011" t="s">
        <v>2752</v>
      </c>
      <c r="E1373" s="1011" t="s">
        <v>1593</v>
      </c>
      <c r="F1373" s="1011" t="s">
        <v>2753</v>
      </c>
    </row>
    <row r="1374" spans="1:6" x14ac:dyDescent="0.25">
      <c r="A1374" s="1011">
        <v>44141463</v>
      </c>
      <c r="B1374" s="1011" t="s">
        <v>4879</v>
      </c>
      <c r="C1374" s="1011" t="s">
        <v>4880</v>
      </c>
      <c r="D1374" s="1011" t="s">
        <v>1127</v>
      </c>
      <c r="E1374" s="1011" t="s">
        <v>1593</v>
      </c>
      <c r="F1374" s="1011" t="s">
        <v>1395</v>
      </c>
    </row>
    <row r="1375" spans="1:6" x14ac:dyDescent="0.25">
      <c r="A1375" s="1011">
        <v>4124624</v>
      </c>
      <c r="B1375" s="1011" t="s">
        <v>4881</v>
      </c>
      <c r="C1375" s="1011" t="s">
        <v>4882</v>
      </c>
      <c r="D1375" s="1011" t="s">
        <v>2174</v>
      </c>
      <c r="E1375" s="1011" t="s">
        <v>1593</v>
      </c>
      <c r="F1375" s="1011" t="s">
        <v>2175</v>
      </c>
    </row>
    <row r="1376" spans="1:6" x14ac:dyDescent="0.25">
      <c r="A1376" s="1011">
        <v>14125520</v>
      </c>
      <c r="B1376" s="1011" t="s">
        <v>4883</v>
      </c>
      <c r="C1376" s="1011" t="s">
        <v>4884</v>
      </c>
      <c r="D1376" s="1011" t="s">
        <v>2049</v>
      </c>
      <c r="E1376" s="1011" t="s">
        <v>1588</v>
      </c>
      <c r="F1376" s="1011" t="s">
        <v>2050</v>
      </c>
    </row>
    <row r="1377" spans="1:6" x14ac:dyDescent="0.25">
      <c r="A1377" s="1011">
        <v>44124543</v>
      </c>
      <c r="B1377" s="1011" t="s">
        <v>4885</v>
      </c>
      <c r="C1377" s="1011" t="s">
        <v>4886</v>
      </c>
      <c r="D1377" s="1011" t="s">
        <v>1127</v>
      </c>
      <c r="E1377" s="1011" t="s">
        <v>1593</v>
      </c>
      <c r="F1377" s="1011" t="s">
        <v>1383</v>
      </c>
    </row>
    <row r="1378" spans="1:6" x14ac:dyDescent="0.25">
      <c r="A1378" s="1011">
        <v>84115922</v>
      </c>
      <c r="B1378" s="1011" t="s">
        <v>4887</v>
      </c>
      <c r="C1378" s="1011" t="s">
        <v>4888</v>
      </c>
      <c r="D1378" s="1011" t="s">
        <v>928</v>
      </c>
      <c r="E1378" s="1011" t="s">
        <v>4889</v>
      </c>
      <c r="F1378" s="1011" t="s">
        <v>4890</v>
      </c>
    </row>
    <row r="1379" spans="1:6" x14ac:dyDescent="0.25">
      <c r="A1379" s="1011">
        <v>74175001</v>
      </c>
      <c r="B1379" s="1011" t="s">
        <v>4891</v>
      </c>
      <c r="C1379" s="1011" t="s">
        <v>4892</v>
      </c>
      <c r="D1379" s="1011" t="s">
        <v>2074</v>
      </c>
      <c r="E1379" s="1011" t="s">
        <v>1593</v>
      </c>
      <c r="F1379" s="1011" t="s">
        <v>2075</v>
      </c>
    </row>
    <row r="1380" spans="1:6" x14ac:dyDescent="0.25">
      <c r="A1380" s="1011">
        <v>14125637</v>
      </c>
      <c r="B1380" s="1011" t="s">
        <v>4893</v>
      </c>
      <c r="C1380" s="1011" t="s">
        <v>4894</v>
      </c>
      <c r="D1380" s="1011" t="s">
        <v>1915</v>
      </c>
      <c r="E1380" s="1011" t="s">
        <v>1588</v>
      </c>
      <c r="F1380" s="1011" t="s">
        <v>1916</v>
      </c>
    </row>
    <row r="1381" spans="1:6" x14ac:dyDescent="0.25">
      <c r="A1381" s="1011">
        <v>94125648</v>
      </c>
      <c r="B1381" s="1011" t="s">
        <v>4895</v>
      </c>
      <c r="C1381" s="1011" t="s">
        <v>4896</v>
      </c>
      <c r="D1381" s="1011" t="s">
        <v>4128</v>
      </c>
      <c r="E1381" s="1011" t="s">
        <v>1588</v>
      </c>
      <c r="F1381" s="1011" t="s">
        <v>4129</v>
      </c>
    </row>
    <row r="1382" spans="1:6" x14ac:dyDescent="0.25">
      <c r="A1382" s="1011">
        <v>84123793</v>
      </c>
      <c r="B1382" s="1011" t="s">
        <v>3733</v>
      </c>
      <c r="C1382" s="1011" t="s">
        <v>4897</v>
      </c>
      <c r="D1382" s="1011" t="s">
        <v>1685</v>
      </c>
      <c r="E1382" s="1011" t="s">
        <v>1593</v>
      </c>
      <c r="F1382" s="1011" t="s">
        <v>1469</v>
      </c>
    </row>
    <row r="1383" spans="1:6" x14ac:dyDescent="0.25">
      <c r="A1383" s="1011">
        <v>64125487</v>
      </c>
      <c r="B1383" s="1011" t="s">
        <v>4898</v>
      </c>
      <c r="C1383" s="1011" t="s">
        <v>4899</v>
      </c>
      <c r="D1383" s="1011" t="s">
        <v>2608</v>
      </c>
      <c r="E1383" s="1011" t="s">
        <v>1588</v>
      </c>
      <c r="F1383" s="1011" t="s">
        <v>1439</v>
      </c>
    </row>
    <row r="1384" spans="1:6" x14ac:dyDescent="0.25">
      <c r="A1384" s="1011">
        <v>84125376</v>
      </c>
      <c r="B1384" s="1011" t="s">
        <v>4900</v>
      </c>
      <c r="C1384" s="1011" t="s">
        <v>4901</v>
      </c>
      <c r="D1384" s="1011" t="s">
        <v>1735</v>
      </c>
      <c r="E1384" s="1011" t="s">
        <v>1588</v>
      </c>
      <c r="F1384" s="1011" t="s">
        <v>1736</v>
      </c>
    </row>
    <row r="1385" spans="1:6" x14ac:dyDescent="0.25">
      <c r="A1385" s="1011">
        <v>34125708</v>
      </c>
      <c r="B1385" s="1011" t="s">
        <v>4902</v>
      </c>
      <c r="C1385" s="1011" t="s">
        <v>4903</v>
      </c>
      <c r="D1385" s="1011" t="s">
        <v>1767</v>
      </c>
      <c r="E1385" s="1011" t="s">
        <v>1593</v>
      </c>
      <c r="F1385" s="1011" t="s">
        <v>1419</v>
      </c>
    </row>
    <row r="1386" spans="1:6" x14ac:dyDescent="0.25">
      <c r="A1386" s="1011">
        <v>74166679</v>
      </c>
      <c r="B1386" s="1011" t="s">
        <v>4904</v>
      </c>
      <c r="C1386" s="1011" t="s">
        <v>4905</v>
      </c>
      <c r="D1386" s="1011" t="s">
        <v>3305</v>
      </c>
      <c r="E1386" s="1011" t="s">
        <v>1588</v>
      </c>
      <c r="F1386" s="1011" t="s">
        <v>3306</v>
      </c>
    </row>
    <row r="1387" spans="1:6" x14ac:dyDescent="0.25">
      <c r="A1387" s="1011">
        <v>4268116</v>
      </c>
      <c r="B1387" s="1011" t="s">
        <v>4906</v>
      </c>
      <c r="C1387" s="1011" t="s">
        <v>3584</v>
      </c>
      <c r="D1387" s="1011" t="s">
        <v>1756</v>
      </c>
      <c r="E1387" s="1011" t="s">
        <v>1593</v>
      </c>
      <c r="F1387" s="1011" t="s">
        <v>1429</v>
      </c>
    </row>
    <row r="1388" spans="1:6" x14ac:dyDescent="0.25">
      <c r="A1388" s="1011">
        <v>54155858</v>
      </c>
      <c r="B1388" s="1011" t="s">
        <v>4907</v>
      </c>
      <c r="C1388" s="1011" t="s">
        <v>4908</v>
      </c>
      <c r="D1388" s="1011" t="s">
        <v>4265</v>
      </c>
      <c r="E1388" s="1011" t="s">
        <v>1593</v>
      </c>
      <c r="F1388" s="1011" t="s">
        <v>4266</v>
      </c>
    </row>
    <row r="1389" spans="1:6" x14ac:dyDescent="0.25">
      <c r="A1389" s="1011">
        <v>54165980</v>
      </c>
      <c r="B1389" s="1011" t="s">
        <v>4909</v>
      </c>
      <c r="C1389" s="1011" t="s">
        <v>4910</v>
      </c>
      <c r="D1389" s="1011" t="s">
        <v>4911</v>
      </c>
      <c r="E1389" s="1011" t="s">
        <v>1593</v>
      </c>
      <c r="F1389" s="1011" t="s">
        <v>4912</v>
      </c>
    </row>
    <row r="1390" spans="1:6" x14ac:dyDescent="0.25">
      <c r="A1390" s="1011">
        <v>44124428</v>
      </c>
      <c r="B1390" s="1011" t="s">
        <v>4913</v>
      </c>
      <c r="C1390" s="1011" t="s">
        <v>4914</v>
      </c>
      <c r="D1390" s="1011" t="s">
        <v>4256</v>
      </c>
      <c r="E1390" s="1011" t="s">
        <v>1583</v>
      </c>
      <c r="F1390" s="1011" t="s">
        <v>4257</v>
      </c>
    </row>
    <row r="1391" spans="1:6" x14ac:dyDescent="0.25">
      <c r="A1391" s="1011">
        <v>54125646</v>
      </c>
      <c r="B1391" s="1011" t="s">
        <v>2321</v>
      </c>
      <c r="C1391" s="1011" t="s">
        <v>4915</v>
      </c>
      <c r="D1391" s="1011" t="s">
        <v>2313</v>
      </c>
      <c r="E1391" s="1011" t="s">
        <v>1588</v>
      </c>
      <c r="F1391" s="1011" t="s">
        <v>1347</v>
      </c>
    </row>
    <row r="1392" spans="1:6" x14ac:dyDescent="0.25">
      <c r="A1392" s="1011">
        <v>94166527</v>
      </c>
      <c r="B1392" s="1011" t="s">
        <v>4916</v>
      </c>
      <c r="C1392" s="1011" t="s">
        <v>4917</v>
      </c>
      <c r="D1392" s="1011" t="s">
        <v>1808</v>
      </c>
      <c r="E1392" s="1011" t="s">
        <v>1588</v>
      </c>
      <c r="F1392" s="1011" t="s">
        <v>1809</v>
      </c>
    </row>
    <row r="1393" spans="1:6" x14ac:dyDescent="0.25">
      <c r="A1393" s="1011">
        <v>44124436</v>
      </c>
      <c r="B1393" s="1011" t="s">
        <v>4918</v>
      </c>
      <c r="C1393" s="1011" t="s">
        <v>4919</v>
      </c>
      <c r="D1393" s="1011" t="s">
        <v>2107</v>
      </c>
      <c r="E1393" s="1011" t="s">
        <v>1583</v>
      </c>
      <c r="F1393" s="1011" t="s">
        <v>2108</v>
      </c>
    </row>
    <row r="1394" spans="1:6" x14ac:dyDescent="0.25">
      <c r="A1394" s="1011">
        <v>14125579</v>
      </c>
      <c r="B1394" s="1011" t="s">
        <v>4920</v>
      </c>
      <c r="C1394" s="1011" t="s">
        <v>4921</v>
      </c>
      <c r="D1394" s="1011" t="s">
        <v>3381</v>
      </c>
      <c r="E1394" s="1011" t="s">
        <v>1588</v>
      </c>
      <c r="F1394" s="1011" t="s">
        <v>3382</v>
      </c>
    </row>
    <row r="1395" spans="1:6" x14ac:dyDescent="0.25">
      <c r="A1395" s="1011">
        <v>64125636</v>
      </c>
      <c r="B1395" s="1011" t="s">
        <v>4922</v>
      </c>
      <c r="C1395" s="1011" t="s">
        <v>4923</v>
      </c>
      <c r="D1395" s="1011" t="s">
        <v>1943</v>
      </c>
      <c r="E1395" s="1011" t="s">
        <v>1588</v>
      </c>
      <c r="F1395" s="1011" t="s">
        <v>1944</v>
      </c>
    </row>
    <row r="1396" spans="1:6" x14ac:dyDescent="0.25">
      <c r="A1396" s="1011">
        <v>94236049</v>
      </c>
      <c r="B1396" s="1011" t="s">
        <v>4924</v>
      </c>
      <c r="C1396" s="1011" t="s">
        <v>4925</v>
      </c>
      <c r="D1396" s="1011" t="s">
        <v>2153</v>
      </c>
      <c r="E1396" s="1011" t="s">
        <v>1588</v>
      </c>
      <c r="F1396" s="1011" t="s">
        <v>1399</v>
      </c>
    </row>
    <row r="1397" spans="1:6" x14ac:dyDescent="0.25">
      <c r="A1397" s="1011">
        <v>44124113</v>
      </c>
      <c r="B1397" s="1011" t="s">
        <v>4926</v>
      </c>
      <c r="C1397" s="1011" t="s">
        <v>4927</v>
      </c>
      <c r="D1397" s="1011" t="s">
        <v>1127</v>
      </c>
      <c r="E1397" s="1011" t="s">
        <v>1593</v>
      </c>
      <c r="F1397" s="1011" t="s">
        <v>1341</v>
      </c>
    </row>
    <row r="1398" spans="1:6" x14ac:dyDescent="0.25">
      <c r="A1398" s="1011">
        <v>84149921</v>
      </c>
      <c r="B1398" s="1011" t="s">
        <v>4928</v>
      </c>
      <c r="C1398" s="1011" t="s">
        <v>4929</v>
      </c>
      <c r="D1398" s="1011" t="s">
        <v>1127</v>
      </c>
      <c r="E1398" s="1011" t="s">
        <v>1593</v>
      </c>
      <c r="F1398" s="1011" t="s">
        <v>1383</v>
      </c>
    </row>
    <row r="1399" spans="1:6" x14ac:dyDescent="0.25">
      <c r="A1399" s="1011">
        <v>64123631</v>
      </c>
      <c r="B1399" s="1011" t="s">
        <v>4930</v>
      </c>
      <c r="C1399" s="1011" t="s">
        <v>4931</v>
      </c>
      <c r="D1399" s="1011" t="s">
        <v>4932</v>
      </c>
      <c r="E1399" s="1011" t="s">
        <v>1593</v>
      </c>
      <c r="F1399" s="1011" t="s">
        <v>4933</v>
      </c>
    </row>
    <row r="1400" spans="1:6" x14ac:dyDescent="0.25">
      <c r="A1400" s="1011">
        <v>34125633</v>
      </c>
      <c r="B1400" s="1011" t="s">
        <v>4934</v>
      </c>
      <c r="C1400" s="1011" t="s">
        <v>4935</v>
      </c>
      <c r="D1400" s="1011" t="s">
        <v>4936</v>
      </c>
      <c r="E1400" s="1011" t="s">
        <v>1588</v>
      </c>
      <c r="F1400" s="1011" t="s">
        <v>4937</v>
      </c>
    </row>
    <row r="1401" spans="1:6" x14ac:dyDescent="0.25">
      <c r="A1401" s="1011">
        <v>84125616</v>
      </c>
      <c r="B1401" s="1011" t="s">
        <v>4938</v>
      </c>
      <c r="C1401" s="1011" t="s">
        <v>4939</v>
      </c>
      <c r="D1401" s="1011" t="s">
        <v>4940</v>
      </c>
      <c r="E1401" s="1011" t="s">
        <v>1588</v>
      </c>
      <c r="F1401" s="1011" t="s">
        <v>4941</v>
      </c>
    </row>
    <row r="1402" spans="1:6" x14ac:dyDescent="0.25">
      <c r="A1402" s="1011">
        <v>74123514</v>
      </c>
      <c r="B1402" s="1011" t="s">
        <v>4942</v>
      </c>
      <c r="C1402" s="1011" t="s">
        <v>4943</v>
      </c>
      <c r="D1402" s="1011" t="s">
        <v>1127</v>
      </c>
      <c r="E1402" s="1011" t="s">
        <v>1593</v>
      </c>
      <c r="F1402" s="1011" t="s">
        <v>1445</v>
      </c>
    </row>
    <row r="1403" spans="1:6" x14ac:dyDescent="0.25">
      <c r="A1403" s="1011">
        <v>14124408</v>
      </c>
      <c r="B1403" s="1011" t="s">
        <v>4944</v>
      </c>
      <c r="C1403" s="1011" t="s">
        <v>3462</v>
      </c>
      <c r="D1403" s="1011" t="s">
        <v>1127</v>
      </c>
      <c r="E1403" s="1011" t="s">
        <v>1593</v>
      </c>
      <c r="F1403" s="1011" t="s">
        <v>1383</v>
      </c>
    </row>
    <row r="1404" spans="1:6" x14ac:dyDescent="0.25">
      <c r="A1404" s="1011">
        <v>74125782</v>
      </c>
      <c r="B1404" s="1011" t="s">
        <v>4945</v>
      </c>
      <c r="C1404" s="1011" t="s">
        <v>4946</v>
      </c>
      <c r="D1404" s="1011" t="s">
        <v>4947</v>
      </c>
      <c r="E1404" s="1011" t="s">
        <v>1588</v>
      </c>
      <c r="F1404" s="1011" t="s">
        <v>4948</v>
      </c>
    </row>
    <row r="1405" spans="1:6" x14ac:dyDescent="0.25">
      <c r="A1405" s="1011">
        <v>4217741</v>
      </c>
      <c r="B1405" s="1011" t="s">
        <v>4949</v>
      </c>
      <c r="C1405" s="1011" t="s">
        <v>4950</v>
      </c>
      <c r="D1405" s="1011" t="s">
        <v>1679</v>
      </c>
      <c r="E1405" s="1011" t="s">
        <v>1588</v>
      </c>
      <c r="F1405" s="1011" t="s">
        <v>1427</v>
      </c>
    </row>
    <row r="1406" spans="1:6" x14ac:dyDescent="0.25">
      <c r="A1406" s="1011">
        <v>54125463</v>
      </c>
      <c r="B1406" s="1011" t="s">
        <v>4951</v>
      </c>
      <c r="C1406" s="1011" t="s">
        <v>4952</v>
      </c>
      <c r="D1406" s="1011" t="s">
        <v>72</v>
      </c>
      <c r="E1406" s="1011" t="s">
        <v>1612</v>
      </c>
      <c r="F1406" s="1011" t="s">
        <v>3601</v>
      </c>
    </row>
    <row r="1407" spans="1:6" x14ac:dyDescent="0.25">
      <c r="A1407" s="1011">
        <v>54163241</v>
      </c>
      <c r="B1407" s="1011" t="s">
        <v>4953</v>
      </c>
      <c r="C1407" s="1011" t="s">
        <v>4954</v>
      </c>
      <c r="D1407" s="1011" t="s">
        <v>1909</v>
      </c>
      <c r="E1407" s="1011" t="s">
        <v>1588</v>
      </c>
      <c r="F1407" s="1011" t="s">
        <v>1910</v>
      </c>
    </row>
    <row r="1408" spans="1:6" x14ac:dyDescent="0.25">
      <c r="A1408" s="1011">
        <v>54142088</v>
      </c>
      <c r="B1408" s="1011" t="s">
        <v>4955</v>
      </c>
      <c r="C1408" s="1011" t="s">
        <v>4956</v>
      </c>
      <c r="D1408" s="1011" t="s">
        <v>2238</v>
      </c>
      <c r="E1408" s="1011" t="s">
        <v>1593</v>
      </c>
      <c r="F1408" s="1011" t="s">
        <v>2239</v>
      </c>
    </row>
    <row r="1409" spans="1:6" x14ac:dyDescent="0.25">
      <c r="A1409" s="1011">
        <v>84125988</v>
      </c>
      <c r="B1409" s="1011" t="s">
        <v>4957</v>
      </c>
      <c r="C1409" s="1011" t="s">
        <v>4958</v>
      </c>
      <c r="D1409" s="1011" t="s">
        <v>2295</v>
      </c>
      <c r="E1409" s="1011" t="s">
        <v>1612</v>
      </c>
      <c r="F1409" s="1011" t="s">
        <v>2296</v>
      </c>
    </row>
    <row r="1410" spans="1:6" x14ac:dyDescent="0.25">
      <c r="A1410" s="1011">
        <v>4124475</v>
      </c>
      <c r="B1410" s="1011" t="s">
        <v>4959</v>
      </c>
      <c r="C1410" s="1011" t="s">
        <v>4960</v>
      </c>
      <c r="D1410" s="1011" t="s">
        <v>1725</v>
      </c>
      <c r="E1410" s="1011" t="s">
        <v>1593</v>
      </c>
      <c r="F1410" s="1011" t="s">
        <v>1413</v>
      </c>
    </row>
    <row r="1411" spans="1:6" x14ac:dyDescent="0.25">
      <c r="A1411" s="1011">
        <v>34142778</v>
      </c>
      <c r="B1411" s="1011" t="s">
        <v>4961</v>
      </c>
      <c r="C1411" s="1011" t="s">
        <v>4962</v>
      </c>
      <c r="D1411" s="1011" t="s">
        <v>3729</v>
      </c>
      <c r="E1411" s="1011" t="s">
        <v>1583</v>
      </c>
      <c r="F1411" s="1011" t="s">
        <v>3730</v>
      </c>
    </row>
    <row r="1412" spans="1:6" x14ac:dyDescent="0.25">
      <c r="A1412" s="1011">
        <v>14124150</v>
      </c>
      <c r="B1412" s="1011" t="s">
        <v>4963</v>
      </c>
      <c r="C1412" s="1011" t="s">
        <v>4964</v>
      </c>
      <c r="D1412" s="1011" t="s">
        <v>2114</v>
      </c>
      <c r="E1412" s="1011" t="s">
        <v>1583</v>
      </c>
      <c r="F1412" s="1011" t="s">
        <v>1357</v>
      </c>
    </row>
    <row r="1413" spans="1:6" x14ac:dyDescent="0.25">
      <c r="A1413" s="1011">
        <v>84123496</v>
      </c>
      <c r="B1413" s="1011" t="s">
        <v>4965</v>
      </c>
      <c r="C1413" s="1011" t="s">
        <v>2169</v>
      </c>
      <c r="D1413" s="1011" t="s">
        <v>1127</v>
      </c>
      <c r="E1413" s="1011" t="s">
        <v>1593</v>
      </c>
      <c r="F1413" s="1011" t="s">
        <v>1383</v>
      </c>
    </row>
    <row r="1414" spans="1:6" x14ac:dyDescent="0.25">
      <c r="A1414" s="1011">
        <v>4125324</v>
      </c>
      <c r="B1414" s="1011" t="s">
        <v>4966</v>
      </c>
      <c r="C1414" s="1011" t="s">
        <v>4967</v>
      </c>
      <c r="D1414" s="1011" t="s">
        <v>1796</v>
      </c>
      <c r="E1414" s="1011" t="s">
        <v>1588</v>
      </c>
      <c r="F1414" s="1011" t="s">
        <v>1797</v>
      </c>
    </row>
    <row r="1415" spans="1:6" x14ac:dyDescent="0.25">
      <c r="A1415" s="1011">
        <v>64123904</v>
      </c>
      <c r="B1415" s="1011" t="s">
        <v>4968</v>
      </c>
      <c r="C1415" s="1011" t="s">
        <v>4969</v>
      </c>
      <c r="D1415" s="1011" t="s">
        <v>2251</v>
      </c>
      <c r="E1415" s="1011" t="s">
        <v>1593</v>
      </c>
      <c r="F1415" s="1011" t="s">
        <v>2252</v>
      </c>
    </row>
    <row r="1416" spans="1:6" x14ac:dyDescent="0.25">
      <c r="A1416" s="1011">
        <v>14125348</v>
      </c>
      <c r="B1416" s="1011" t="s">
        <v>4970</v>
      </c>
      <c r="C1416" s="1011" t="s">
        <v>4971</v>
      </c>
      <c r="D1416" s="1011" t="s">
        <v>3369</v>
      </c>
      <c r="E1416" s="1011" t="s">
        <v>1588</v>
      </c>
      <c r="F1416" s="1011" t="s">
        <v>3370</v>
      </c>
    </row>
    <row r="1417" spans="1:6" x14ac:dyDescent="0.25">
      <c r="A1417" s="1011">
        <v>74124918</v>
      </c>
      <c r="B1417" s="1011" t="s">
        <v>4972</v>
      </c>
      <c r="C1417" s="1011" t="s">
        <v>4973</v>
      </c>
      <c r="D1417" s="1011" t="s">
        <v>4974</v>
      </c>
      <c r="E1417" s="1011" t="s">
        <v>1583</v>
      </c>
      <c r="F1417" s="1011" t="s">
        <v>4975</v>
      </c>
    </row>
    <row r="1418" spans="1:6" x14ac:dyDescent="0.25">
      <c r="A1418" s="1011">
        <v>84123348</v>
      </c>
      <c r="B1418" s="1011" t="s">
        <v>4976</v>
      </c>
      <c r="C1418" s="1011" t="s">
        <v>4977</v>
      </c>
      <c r="D1418" s="1011" t="s">
        <v>4148</v>
      </c>
      <c r="E1418" s="1011" t="s">
        <v>1593</v>
      </c>
      <c r="F1418" s="1011" t="s">
        <v>4149</v>
      </c>
    </row>
    <row r="1419" spans="1:6" x14ac:dyDescent="0.25">
      <c r="A1419" s="1011">
        <v>24123655</v>
      </c>
      <c r="B1419" s="1011" t="s">
        <v>4978</v>
      </c>
      <c r="C1419" s="1011" t="s">
        <v>4979</v>
      </c>
      <c r="D1419" s="1011" t="s">
        <v>1756</v>
      </c>
      <c r="E1419" s="1011" t="s">
        <v>1593</v>
      </c>
      <c r="F1419" s="1011" t="s">
        <v>1429</v>
      </c>
    </row>
    <row r="1420" spans="1:6" x14ac:dyDescent="0.25">
      <c r="A1420" s="1011">
        <v>4125456</v>
      </c>
      <c r="B1420" s="1011" t="s">
        <v>4980</v>
      </c>
      <c r="C1420" s="1011" t="s">
        <v>4981</v>
      </c>
      <c r="D1420" s="1011" t="s">
        <v>1935</v>
      </c>
      <c r="E1420" s="1011" t="s">
        <v>1588</v>
      </c>
      <c r="F1420" s="1011" t="s">
        <v>4982</v>
      </c>
    </row>
    <row r="1421" spans="1:6" x14ac:dyDescent="0.25">
      <c r="A1421" s="1011">
        <v>84123967</v>
      </c>
      <c r="B1421" s="1011" t="s">
        <v>4983</v>
      </c>
      <c r="C1421" s="1011" t="s">
        <v>4984</v>
      </c>
      <c r="D1421" s="1011" t="s">
        <v>4985</v>
      </c>
      <c r="E1421" s="1011" t="s">
        <v>1583</v>
      </c>
      <c r="F1421" s="1011" t="s">
        <v>4986</v>
      </c>
    </row>
    <row r="1422" spans="1:6" x14ac:dyDescent="0.25">
      <c r="A1422" s="1011">
        <v>64123433</v>
      </c>
      <c r="B1422" s="1011" t="s">
        <v>4987</v>
      </c>
      <c r="C1422" s="1011" t="s">
        <v>4988</v>
      </c>
      <c r="D1422" s="1011" t="s">
        <v>1857</v>
      </c>
      <c r="E1422" s="1011" t="s">
        <v>1593</v>
      </c>
      <c r="F1422" s="1011" t="s">
        <v>1858</v>
      </c>
    </row>
    <row r="1423" spans="1:6" x14ac:dyDescent="0.25">
      <c r="A1423" s="1011">
        <v>94169158</v>
      </c>
      <c r="B1423" s="1011" t="s">
        <v>4989</v>
      </c>
      <c r="C1423" s="1011" t="s">
        <v>4990</v>
      </c>
      <c r="D1423" s="1011" t="s">
        <v>1127</v>
      </c>
      <c r="E1423" s="1011" t="s">
        <v>1593</v>
      </c>
      <c r="F1423" s="1011" t="s">
        <v>1341</v>
      </c>
    </row>
    <row r="1424" spans="1:6" x14ac:dyDescent="0.25">
      <c r="A1424" s="1011">
        <v>44152189</v>
      </c>
      <c r="B1424" s="1011" t="s">
        <v>4991</v>
      </c>
      <c r="C1424" s="1011" t="s">
        <v>4992</v>
      </c>
      <c r="D1424" s="1011" t="s">
        <v>2969</v>
      </c>
      <c r="E1424" s="1011" t="s">
        <v>1583</v>
      </c>
      <c r="F1424" s="1011" t="s">
        <v>1451</v>
      </c>
    </row>
    <row r="1425" spans="1:6" x14ac:dyDescent="0.25">
      <c r="A1425" s="1011">
        <v>74123886</v>
      </c>
      <c r="B1425" s="1011" t="s">
        <v>4993</v>
      </c>
      <c r="C1425" s="1011" t="s">
        <v>4994</v>
      </c>
      <c r="D1425" s="1011" t="s">
        <v>1812</v>
      </c>
      <c r="E1425" s="1011" t="s">
        <v>1593</v>
      </c>
      <c r="F1425" s="1011" t="s">
        <v>1385</v>
      </c>
    </row>
    <row r="1426" spans="1:6" x14ac:dyDescent="0.25">
      <c r="A1426" s="1011">
        <v>24124299</v>
      </c>
      <c r="B1426" s="1011" t="s">
        <v>4995</v>
      </c>
      <c r="C1426" s="1011" t="s">
        <v>4996</v>
      </c>
      <c r="D1426" s="1011" t="s">
        <v>4997</v>
      </c>
      <c r="E1426" s="1011" t="s">
        <v>1583</v>
      </c>
      <c r="F1426" s="1011" t="s">
        <v>4998</v>
      </c>
    </row>
    <row r="1427" spans="1:6" x14ac:dyDescent="0.25">
      <c r="A1427" s="1011">
        <v>64124290</v>
      </c>
      <c r="B1427" s="1011" t="s">
        <v>4999</v>
      </c>
      <c r="C1427" s="1011" t="s">
        <v>5000</v>
      </c>
      <c r="D1427" s="1011" t="s">
        <v>2439</v>
      </c>
      <c r="E1427" s="1011" t="s">
        <v>1583</v>
      </c>
      <c r="F1427" s="1011" t="s">
        <v>2440</v>
      </c>
    </row>
    <row r="1428" spans="1:6" x14ac:dyDescent="0.25">
      <c r="A1428" s="1011">
        <v>4125183</v>
      </c>
      <c r="B1428" s="1011" t="s">
        <v>5001</v>
      </c>
      <c r="C1428" s="1011" t="s">
        <v>5002</v>
      </c>
      <c r="D1428" s="1011" t="s">
        <v>2242</v>
      </c>
      <c r="E1428" s="1011" t="s">
        <v>1583</v>
      </c>
      <c r="F1428" s="1011" t="s">
        <v>2243</v>
      </c>
    </row>
    <row r="1429" spans="1:6" x14ac:dyDescent="0.25">
      <c r="A1429" s="1011">
        <v>74123902</v>
      </c>
      <c r="B1429" s="1011" t="s">
        <v>5003</v>
      </c>
      <c r="C1429" s="1011" t="s">
        <v>5004</v>
      </c>
      <c r="D1429" s="1011" t="s">
        <v>2251</v>
      </c>
      <c r="E1429" s="1011" t="s">
        <v>1593</v>
      </c>
      <c r="F1429" s="1011" t="s">
        <v>2252</v>
      </c>
    </row>
    <row r="1430" spans="1:6" x14ac:dyDescent="0.25">
      <c r="A1430" s="1011">
        <v>64124555</v>
      </c>
      <c r="B1430" s="1011" t="s">
        <v>5005</v>
      </c>
      <c r="C1430" s="1011" t="s">
        <v>5006</v>
      </c>
      <c r="D1430" s="1011" t="s">
        <v>2238</v>
      </c>
      <c r="E1430" s="1011" t="s">
        <v>1593</v>
      </c>
      <c r="F1430" s="1011" t="s">
        <v>2239</v>
      </c>
    </row>
    <row r="1431" spans="1:6" x14ac:dyDescent="0.25">
      <c r="A1431" s="1011">
        <v>54125513</v>
      </c>
      <c r="B1431" s="1011" t="s">
        <v>5007</v>
      </c>
      <c r="C1431" s="1011" t="s">
        <v>5008</v>
      </c>
      <c r="D1431" s="1011" t="s">
        <v>2394</v>
      </c>
      <c r="E1431" s="1011" t="s">
        <v>1588</v>
      </c>
      <c r="F1431" s="1011" t="s">
        <v>2395</v>
      </c>
    </row>
    <row r="1432" spans="1:6" x14ac:dyDescent="0.25">
      <c r="A1432" s="1011">
        <v>74163577</v>
      </c>
      <c r="B1432" s="1011" t="s">
        <v>5009</v>
      </c>
      <c r="C1432" s="1011" t="s">
        <v>5010</v>
      </c>
      <c r="D1432" s="1011" t="s">
        <v>1125</v>
      </c>
      <c r="E1432" s="1011" t="s">
        <v>1588</v>
      </c>
      <c r="F1432" s="1011" t="s">
        <v>1619</v>
      </c>
    </row>
    <row r="1433" spans="1:6" x14ac:dyDescent="0.25">
      <c r="A1433" s="1011">
        <v>64125263</v>
      </c>
      <c r="B1433" s="1011" t="s">
        <v>5011</v>
      </c>
      <c r="C1433" s="1011" t="s">
        <v>5012</v>
      </c>
      <c r="D1433" s="1011" t="s">
        <v>1780</v>
      </c>
      <c r="E1433" s="1011" t="s">
        <v>1593</v>
      </c>
      <c r="F1433" s="1011" t="s">
        <v>1443</v>
      </c>
    </row>
    <row r="1434" spans="1:6" x14ac:dyDescent="0.25">
      <c r="A1434" s="1011">
        <v>34137125</v>
      </c>
      <c r="B1434" s="1011" t="s">
        <v>5013</v>
      </c>
      <c r="C1434" s="1011" t="s">
        <v>5014</v>
      </c>
      <c r="D1434" s="1011" t="s">
        <v>1800</v>
      </c>
      <c r="E1434" s="1011" t="s">
        <v>1588</v>
      </c>
      <c r="F1434" s="1011" t="s">
        <v>1801</v>
      </c>
    </row>
    <row r="1435" spans="1:6" x14ac:dyDescent="0.25">
      <c r="A1435" s="1011">
        <v>4124566</v>
      </c>
      <c r="B1435" s="1011" t="s">
        <v>5015</v>
      </c>
      <c r="C1435" s="1011" t="s">
        <v>5016</v>
      </c>
      <c r="D1435" s="1011" t="s">
        <v>4663</v>
      </c>
      <c r="E1435" s="1011" t="s">
        <v>1583</v>
      </c>
      <c r="F1435" s="1011" t="s">
        <v>4664</v>
      </c>
    </row>
    <row r="1436" spans="1:6" x14ac:dyDescent="0.25">
      <c r="A1436" s="1011">
        <v>24124711</v>
      </c>
      <c r="B1436" s="1011" t="s">
        <v>5017</v>
      </c>
      <c r="C1436" s="1011" t="s">
        <v>1898</v>
      </c>
      <c r="D1436" s="1011" t="s">
        <v>1899</v>
      </c>
      <c r="E1436" s="1011" t="s">
        <v>1583</v>
      </c>
      <c r="F1436" s="1011" t="s">
        <v>1900</v>
      </c>
    </row>
    <row r="1437" spans="1:6" x14ac:dyDescent="0.25">
      <c r="A1437" s="1011">
        <v>54123823</v>
      </c>
      <c r="B1437" s="1011" t="s">
        <v>5018</v>
      </c>
      <c r="C1437" s="1011" t="s">
        <v>5019</v>
      </c>
      <c r="D1437" s="1011" t="s">
        <v>1728</v>
      </c>
      <c r="E1437" s="1011" t="s">
        <v>1593</v>
      </c>
      <c r="F1437" s="1011" t="s">
        <v>1729</v>
      </c>
    </row>
    <row r="1438" spans="1:6" x14ac:dyDescent="0.25">
      <c r="A1438" s="1011">
        <v>64123714</v>
      </c>
      <c r="B1438" s="1011" t="s">
        <v>5020</v>
      </c>
      <c r="C1438" s="1011" t="s">
        <v>5021</v>
      </c>
      <c r="D1438" s="1011" t="s">
        <v>1812</v>
      </c>
      <c r="E1438" s="1011" t="s">
        <v>1593</v>
      </c>
      <c r="F1438" s="1011" t="s">
        <v>1385</v>
      </c>
    </row>
    <row r="1439" spans="1:6" x14ac:dyDescent="0.25">
      <c r="A1439" s="1011">
        <v>74125725</v>
      </c>
      <c r="B1439" s="1011" t="s">
        <v>5022</v>
      </c>
      <c r="C1439" s="1011" t="s">
        <v>5023</v>
      </c>
      <c r="D1439" s="1011" t="s">
        <v>2963</v>
      </c>
      <c r="E1439" s="1011" t="s">
        <v>1588</v>
      </c>
      <c r="F1439" s="1011" t="s">
        <v>2964</v>
      </c>
    </row>
    <row r="1440" spans="1:6" x14ac:dyDescent="0.25">
      <c r="A1440" s="1011">
        <v>34125369</v>
      </c>
      <c r="B1440" s="1011" t="s">
        <v>5024</v>
      </c>
      <c r="C1440" s="1011" t="s">
        <v>5025</v>
      </c>
      <c r="D1440" s="1011" t="s">
        <v>5026</v>
      </c>
      <c r="E1440" s="1011" t="s">
        <v>1612</v>
      </c>
      <c r="F1440" s="1011" t="s">
        <v>5027</v>
      </c>
    </row>
    <row r="1441" spans="1:6" x14ac:dyDescent="0.25">
      <c r="A1441" s="1011">
        <v>54125323</v>
      </c>
      <c r="B1441" s="1011" t="s">
        <v>5028</v>
      </c>
      <c r="C1441" s="1011" t="s">
        <v>5029</v>
      </c>
      <c r="D1441" s="1011" t="s">
        <v>5026</v>
      </c>
      <c r="E1441" s="1011" t="s">
        <v>1612</v>
      </c>
      <c r="F1441" s="1011" t="s">
        <v>5027</v>
      </c>
    </row>
    <row r="1442" spans="1:6" x14ac:dyDescent="0.25">
      <c r="A1442" s="1011">
        <v>84125681</v>
      </c>
      <c r="B1442" s="1011" t="s">
        <v>5030</v>
      </c>
      <c r="C1442" s="1011" t="s">
        <v>5031</v>
      </c>
      <c r="D1442" s="1011" t="s">
        <v>3569</v>
      </c>
      <c r="E1442" s="1011" t="s">
        <v>1588</v>
      </c>
      <c r="F1442" s="1011" t="s">
        <v>3570</v>
      </c>
    </row>
    <row r="1443" spans="1:6" x14ac:dyDescent="0.25">
      <c r="A1443" s="1011">
        <v>34123976</v>
      </c>
      <c r="B1443" s="1011" t="s">
        <v>5032</v>
      </c>
      <c r="C1443" s="1011" t="s">
        <v>5033</v>
      </c>
      <c r="D1443" s="1011" t="s">
        <v>3249</v>
      </c>
      <c r="E1443" s="1011" t="s">
        <v>1593</v>
      </c>
      <c r="F1443" s="1011" t="s">
        <v>2408</v>
      </c>
    </row>
    <row r="1444" spans="1:6" x14ac:dyDescent="0.25">
      <c r="A1444" s="1011">
        <v>94126034</v>
      </c>
      <c r="B1444" s="1011" t="s">
        <v>5034</v>
      </c>
      <c r="C1444" s="1011" t="s">
        <v>5035</v>
      </c>
      <c r="D1444" s="1011" t="s">
        <v>5026</v>
      </c>
      <c r="E1444" s="1011" t="s">
        <v>1612</v>
      </c>
      <c r="F1444" s="1011" t="s">
        <v>5027</v>
      </c>
    </row>
    <row r="1445" spans="1:6" x14ac:dyDescent="0.25">
      <c r="A1445" s="1011">
        <v>4242608</v>
      </c>
      <c r="B1445" s="1011" t="s">
        <v>5036</v>
      </c>
      <c r="C1445" s="1011" t="s">
        <v>5037</v>
      </c>
      <c r="D1445" s="1011" t="s">
        <v>2969</v>
      </c>
      <c r="E1445" s="1011" t="s">
        <v>1583</v>
      </c>
      <c r="F1445" s="1011" t="s">
        <v>1451</v>
      </c>
    </row>
    <row r="1446" spans="1:6" x14ac:dyDescent="0.25">
      <c r="A1446" s="1011">
        <v>94126075</v>
      </c>
      <c r="B1446" s="1011" t="s">
        <v>5038</v>
      </c>
      <c r="C1446" s="1011" t="s">
        <v>5039</v>
      </c>
      <c r="D1446" s="1011" t="s">
        <v>3007</v>
      </c>
      <c r="E1446" s="1011" t="s">
        <v>1588</v>
      </c>
      <c r="F1446" s="1011" t="s">
        <v>3008</v>
      </c>
    </row>
    <row r="1447" spans="1:6" x14ac:dyDescent="0.25">
      <c r="A1447" s="1011">
        <v>54125307</v>
      </c>
      <c r="B1447" s="1011" t="s">
        <v>5040</v>
      </c>
      <c r="C1447" s="1011" t="s">
        <v>5041</v>
      </c>
      <c r="D1447" s="1011" t="s">
        <v>1819</v>
      </c>
      <c r="E1447" s="1011" t="s">
        <v>1588</v>
      </c>
      <c r="F1447" s="1011" t="s">
        <v>1820</v>
      </c>
    </row>
    <row r="1448" spans="1:6" x14ac:dyDescent="0.25">
      <c r="A1448" s="1011">
        <v>34125781</v>
      </c>
      <c r="B1448" s="1011" t="s">
        <v>5042</v>
      </c>
      <c r="C1448" s="1011" t="s">
        <v>5043</v>
      </c>
      <c r="D1448" s="1011" t="s">
        <v>72</v>
      </c>
      <c r="E1448" s="1011" t="s">
        <v>1612</v>
      </c>
      <c r="F1448" s="1011" t="s">
        <v>2653</v>
      </c>
    </row>
    <row r="1449" spans="1:6" x14ac:dyDescent="0.25">
      <c r="A1449" s="1011">
        <v>74123621</v>
      </c>
      <c r="B1449" s="1011" t="s">
        <v>5044</v>
      </c>
      <c r="C1449" s="1011" t="s">
        <v>5045</v>
      </c>
      <c r="D1449" s="1011" t="s">
        <v>4033</v>
      </c>
      <c r="E1449" s="1011" t="s">
        <v>1593</v>
      </c>
      <c r="F1449" s="1011" t="s">
        <v>4034</v>
      </c>
    </row>
    <row r="1450" spans="1:6" x14ac:dyDescent="0.25">
      <c r="A1450" s="1011">
        <v>64222243</v>
      </c>
      <c r="B1450" s="1011" t="s">
        <v>5046</v>
      </c>
      <c r="C1450" s="1011" t="s">
        <v>5047</v>
      </c>
      <c r="D1450" s="1011" t="s">
        <v>2394</v>
      </c>
      <c r="E1450" s="1011" t="s">
        <v>1588</v>
      </c>
      <c r="F1450" s="1011" t="s">
        <v>2395</v>
      </c>
    </row>
    <row r="1451" spans="1:6" x14ac:dyDescent="0.25">
      <c r="A1451" s="1011">
        <v>74125923</v>
      </c>
      <c r="B1451" s="1011" t="s">
        <v>5048</v>
      </c>
      <c r="C1451" s="1011" t="s">
        <v>5049</v>
      </c>
      <c r="D1451" s="1011" t="s">
        <v>2295</v>
      </c>
      <c r="E1451" s="1011" t="s">
        <v>1612</v>
      </c>
      <c r="F1451" s="1011" t="s">
        <v>2296</v>
      </c>
    </row>
    <row r="1452" spans="1:6" x14ac:dyDescent="0.25">
      <c r="A1452" s="1011">
        <v>54125554</v>
      </c>
      <c r="B1452" s="1011" t="s">
        <v>5050</v>
      </c>
      <c r="C1452" s="1011" t="s">
        <v>5051</v>
      </c>
      <c r="D1452" s="1011" t="s">
        <v>1611</v>
      </c>
      <c r="E1452" s="1011" t="s">
        <v>1612</v>
      </c>
      <c r="F1452" s="1011" t="s">
        <v>1613</v>
      </c>
    </row>
    <row r="1453" spans="1:6" x14ac:dyDescent="0.25">
      <c r="A1453" s="1011">
        <v>74125444</v>
      </c>
      <c r="B1453" s="1011" t="s">
        <v>5052</v>
      </c>
      <c r="C1453" s="1011" t="s">
        <v>5053</v>
      </c>
      <c r="D1453" s="1011" t="s">
        <v>3894</v>
      </c>
      <c r="E1453" s="1011" t="s">
        <v>1588</v>
      </c>
      <c r="F1453" s="1011" t="s">
        <v>3895</v>
      </c>
    </row>
    <row r="1454" spans="1:6" x14ac:dyDescent="0.25">
      <c r="A1454" s="1011">
        <v>54124763</v>
      </c>
      <c r="B1454" s="1011" t="s">
        <v>5054</v>
      </c>
      <c r="C1454" s="1011" t="s">
        <v>5055</v>
      </c>
      <c r="D1454" s="1011" t="s">
        <v>2530</v>
      </c>
      <c r="E1454" s="1011" t="s">
        <v>1583</v>
      </c>
      <c r="F1454" s="1011" t="s">
        <v>1379</v>
      </c>
    </row>
    <row r="1455" spans="1:6" x14ac:dyDescent="0.25">
      <c r="A1455" s="1011">
        <v>24125445</v>
      </c>
      <c r="B1455" s="1011" t="s">
        <v>5056</v>
      </c>
      <c r="C1455" s="1011" t="s">
        <v>5057</v>
      </c>
      <c r="D1455" s="1011" t="s">
        <v>1596</v>
      </c>
      <c r="E1455" s="1011" t="s">
        <v>1593</v>
      </c>
      <c r="F1455" s="1011" t="s">
        <v>1351</v>
      </c>
    </row>
    <row r="1456" spans="1:6" x14ac:dyDescent="0.25">
      <c r="A1456" s="1011">
        <v>94126083</v>
      </c>
      <c r="B1456" s="1011" t="s">
        <v>5058</v>
      </c>
      <c r="C1456" s="1011" t="s">
        <v>5059</v>
      </c>
      <c r="D1456" s="1011" t="s">
        <v>1125</v>
      </c>
      <c r="E1456" s="1011" t="s">
        <v>1588</v>
      </c>
      <c r="F1456" s="1011" t="s">
        <v>1361</v>
      </c>
    </row>
    <row r="1457" spans="1:6" x14ac:dyDescent="0.25">
      <c r="A1457" s="1011">
        <v>14125694</v>
      </c>
      <c r="B1457" s="1011" t="s">
        <v>5060</v>
      </c>
      <c r="C1457" s="1011" t="s">
        <v>1734</v>
      </c>
      <c r="D1457" s="1011" t="s">
        <v>1735</v>
      </c>
      <c r="E1457" s="1011" t="s">
        <v>1588</v>
      </c>
      <c r="F1457" s="1011" t="s">
        <v>1736</v>
      </c>
    </row>
    <row r="1458" spans="1:6" x14ac:dyDescent="0.25">
      <c r="A1458" s="1011">
        <v>94123841</v>
      </c>
      <c r="B1458" s="1011" t="s">
        <v>5061</v>
      </c>
      <c r="C1458" s="1011" t="s">
        <v>5062</v>
      </c>
      <c r="D1458" s="1011" t="s">
        <v>4148</v>
      </c>
      <c r="E1458" s="1011" t="s">
        <v>1593</v>
      </c>
      <c r="F1458" s="1011" t="s">
        <v>4149</v>
      </c>
    </row>
    <row r="1459" spans="1:6" x14ac:dyDescent="0.25">
      <c r="A1459" s="1011">
        <v>84123322</v>
      </c>
      <c r="B1459" s="1011" t="s">
        <v>5063</v>
      </c>
      <c r="C1459" s="1011" t="s">
        <v>5064</v>
      </c>
      <c r="D1459" s="1011" t="s">
        <v>1685</v>
      </c>
      <c r="E1459" s="1011" t="s">
        <v>1593</v>
      </c>
      <c r="F1459" s="1011" t="s">
        <v>1469</v>
      </c>
    </row>
    <row r="1460" spans="1:6" x14ac:dyDescent="0.25">
      <c r="A1460" s="1011">
        <v>34125971</v>
      </c>
      <c r="B1460" s="1011" t="s">
        <v>5065</v>
      </c>
      <c r="C1460" s="1011" t="s">
        <v>5066</v>
      </c>
      <c r="D1460" s="1011" t="s">
        <v>2413</v>
      </c>
      <c r="E1460" s="1011" t="s">
        <v>1612</v>
      </c>
      <c r="F1460" s="1011" t="s">
        <v>2414</v>
      </c>
    </row>
    <row r="1461" spans="1:6" x14ac:dyDescent="0.25">
      <c r="A1461" s="1011">
        <v>44125144</v>
      </c>
      <c r="B1461" s="1011" t="s">
        <v>5067</v>
      </c>
      <c r="C1461" s="1011" t="s">
        <v>5068</v>
      </c>
      <c r="D1461" s="1011" t="s">
        <v>1892</v>
      </c>
      <c r="E1461" s="1011" t="s">
        <v>1583</v>
      </c>
      <c r="F1461" s="1011" t="s">
        <v>1371</v>
      </c>
    </row>
    <row r="1462" spans="1:6" x14ac:dyDescent="0.25">
      <c r="A1462" s="1011">
        <v>24124562</v>
      </c>
      <c r="B1462" s="1011" t="s">
        <v>5069</v>
      </c>
      <c r="C1462" s="1011" t="s">
        <v>5070</v>
      </c>
      <c r="D1462" s="1011" t="s">
        <v>1728</v>
      </c>
      <c r="E1462" s="1011" t="s">
        <v>1593</v>
      </c>
      <c r="F1462" s="1011" t="s">
        <v>1729</v>
      </c>
    </row>
    <row r="1463" spans="1:6" x14ac:dyDescent="0.25">
      <c r="A1463" s="1011">
        <v>74125618</v>
      </c>
      <c r="B1463" s="1011" t="s">
        <v>5071</v>
      </c>
      <c r="C1463" s="1011" t="s">
        <v>5072</v>
      </c>
      <c r="D1463" s="1011" t="s">
        <v>1668</v>
      </c>
      <c r="E1463" s="1011" t="s">
        <v>1588</v>
      </c>
      <c r="F1463" s="1011" t="s">
        <v>1669</v>
      </c>
    </row>
    <row r="1464" spans="1:6" x14ac:dyDescent="0.25">
      <c r="A1464" s="1011">
        <v>24125569</v>
      </c>
      <c r="B1464" s="1011" t="s">
        <v>5073</v>
      </c>
      <c r="C1464" s="1011" t="s">
        <v>5074</v>
      </c>
      <c r="D1464" s="1011" t="s">
        <v>1611</v>
      </c>
      <c r="E1464" s="1011" t="s">
        <v>1612</v>
      </c>
      <c r="F1464" s="1011" t="s">
        <v>1613</v>
      </c>
    </row>
    <row r="1465" spans="1:6" x14ac:dyDescent="0.25">
      <c r="A1465" s="1011">
        <v>4139184</v>
      </c>
      <c r="B1465" s="1011" t="s">
        <v>5075</v>
      </c>
      <c r="C1465" s="1011" t="s">
        <v>2361</v>
      </c>
      <c r="D1465" s="1011" t="s">
        <v>2362</v>
      </c>
      <c r="E1465" s="1011" t="s">
        <v>1583</v>
      </c>
      <c r="F1465" s="1011" t="s">
        <v>1453</v>
      </c>
    </row>
    <row r="1466" spans="1:6" x14ac:dyDescent="0.25">
      <c r="A1466" s="1011">
        <v>14125629</v>
      </c>
      <c r="B1466" s="1011" t="s">
        <v>5076</v>
      </c>
      <c r="C1466" s="1011" t="s">
        <v>5077</v>
      </c>
      <c r="D1466" s="1011" t="s">
        <v>2413</v>
      </c>
      <c r="E1466" s="1011" t="s">
        <v>1612</v>
      </c>
      <c r="F1466" s="1011" t="s">
        <v>2414</v>
      </c>
    </row>
    <row r="1467" spans="1:6" x14ac:dyDescent="0.25">
      <c r="A1467" s="1011">
        <v>84124551</v>
      </c>
      <c r="B1467" s="1011" t="s">
        <v>5078</v>
      </c>
      <c r="C1467" s="1011" t="s">
        <v>5079</v>
      </c>
      <c r="D1467" s="1011" t="s">
        <v>2445</v>
      </c>
      <c r="E1467" s="1011" t="s">
        <v>1593</v>
      </c>
      <c r="F1467" s="1011" t="s">
        <v>2446</v>
      </c>
    </row>
    <row r="1468" spans="1:6" x14ac:dyDescent="0.25">
      <c r="A1468" s="1011">
        <v>64143449</v>
      </c>
      <c r="B1468" s="1011" t="s">
        <v>5080</v>
      </c>
      <c r="C1468" s="1011" t="s">
        <v>5081</v>
      </c>
      <c r="D1468" s="1011" t="s">
        <v>5082</v>
      </c>
      <c r="E1468" s="1011" t="s">
        <v>1583</v>
      </c>
      <c r="F1468" s="1011" t="s">
        <v>1393</v>
      </c>
    </row>
    <row r="1469" spans="1:6" x14ac:dyDescent="0.25">
      <c r="A1469" s="1011">
        <v>84124395</v>
      </c>
      <c r="B1469" s="1011" t="s">
        <v>5083</v>
      </c>
      <c r="C1469" s="1011" t="s">
        <v>5084</v>
      </c>
      <c r="D1469" s="1011" t="s">
        <v>1127</v>
      </c>
      <c r="E1469" s="1011" t="s">
        <v>1593</v>
      </c>
      <c r="F1469" s="1011" t="s">
        <v>1383</v>
      </c>
    </row>
    <row r="1470" spans="1:6" x14ac:dyDescent="0.25">
      <c r="A1470" s="1011">
        <v>54143441</v>
      </c>
      <c r="B1470" s="1011" t="s">
        <v>5085</v>
      </c>
      <c r="C1470" s="1011" t="s">
        <v>5086</v>
      </c>
      <c r="D1470" s="1011" t="s">
        <v>5087</v>
      </c>
      <c r="E1470" s="1011" t="s">
        <v>1583</v>
      </c>
      <c r="F1470" s="1011" t="s">
        <v>5088</v>
      </c>
    </row>
    <row r="1471" spans="1:6" x14ac:dyDescent="0.25">
      <c r="A1471" s="1011">
        <v>4124053</v>
      </c>
      <c r="B1471" s="1011" t="s">
        <v>5089</v>
      </c>
      <c r="C1471" s="1011" t="s">
        <v>5090</v>
      </c>
      <c r="D1471" s="1011" t="s">
        <v>5091</v>
      </c>
      <c r="E1471" s="1011" t="s">
        <v>1593</v>
      </c>
      <c r="F1471" s="1011" t="s">
        <v>5092</v>
      </c>
    </row>
    <row r="1472" spans="1:6" x14ac:dyDescent="0.25">
      <c r="A1472" s="1011">
        <v>44123396</v>
      </c>
      <c r="B1472" s="1011" t="s">
        <v>5093</v>
      </c>
      <c r="C1472" s="1011" t="s">
        <v>5094</v>
      </c>
      <c r="D1472" s="1011" t="s">
        <v>1728</v>
      </c>
      <c r="E1472" s="1011" t="s">
        <v>1593</v>
      </c>
      <c r="F1472" s="1011" t="s">
        <v>1729</v>
      </c>
    </row>
    <row r="1473" spans="1:6" x14ac:dyDescent="0.25">
      <c r="A1473" s="1011">
        <v>4223152</v>
      </c>
      <c r="B1473" s="1011" t="s">
        <v>5095</v>
      </c>
      <c r="C1473" s="1011" t="s">
        <v>5096</v>
      </c>
      <c r="D1473" s="1011" t="s">
        <v>1756</v>
      </c>
      <c r="E1473" s="1011" t="s">
        <v>1593</v>
      </c>
      <c r="F1473" s="1011" t="s">
        <v>1429</v>
      </c>
    </row>
    <row r="1474" spans="1:6" x14ac:dyDescent="0.25">
      <c r="A1474" s="1011">
        <v>4233110</v>
      </c>
      <c r="B1474" s="1011" t="s">
        <v>5097</v>
      </c>
      <c r="C1474" s="1011" t="s">
        <v>5098</v>
      </c>
      <c r="D1474" s="1011" t="s">
        <v>3517</v>
      </c>
      <c r="E1474" s="1011" t="s">
        <v>1588</v>
      </c>
      <c r="F1474" s="1011" t="s">
        <v>3518</v>
      </c>
    </row>
    <row r="1475" spans="1:6" x14ac:dyDescent="0.25">
      <c r="A1475" s="1011">
        <v>34126011</v>
      </c>
      <c r="B1475" s="1011" t="s">
        <v>5099</v>
      </c>
      <c r="C1475" s="1011" t="s">
        <v>5100</v>
      </c>
      <c r="D1475" s="1011" t="s">
        <v>1125</v>
      </c>
      <c r="E1475" s="1011" t="s">
        <v>1588</v>
      </c>
      <c r="F1475" s="1011" t="s">
        <v>1619</v>
      </c>
    </row>
    <row r="1476" spans="1:6" x14ac:dyDescent="0.25">
      <c r="A1476" s="1011">
        <v>64125974</v>
      </c>
      <c r="B1476" s="1011" t="s">
        <v>5101</v>
      </c>
      <c r="C1476" s="1011" t="s">
        <v>5102</v>
      </c>
      <c r="D1476" s="1011" t="s">
        <v>1125</v>
      </c>
      <c r="E1476" s="1011" t="s">
        <v>1588</v>
      </c>
      <c r="F1476" s="1011" t="s">
        <v>1619</v>
      </c>
    </row>
    <row r="1477" spans="1:6" x14ac:dyDescent="0.25">
      <c r="A1477" s="1011">
        <v>44125714</v>
      </c>
      <c r="B1477" s="1011" t="s">
        <v>5103</v>
      </c>
      <c r="C1477" s="1011" t="s">
        <v>5104</v>
      </c>
      <c r="D1477" s="1011" t="s">
        <v>3138</v>
      </c>
      <c r="E1477" s="1011" t="s">
        <v>1588</v>
      </c>
      <c r="F1477" s="1011" t="s">
        <v>3139</v>
      </c>
    </row>
    <row r="1478" spans="1:6" x14ac:dyDescent="0.25">
      <c r="A1478" s="1011">
        <v>4240404</v>
      </c>
      <c r="B1478" s="1011" t="s">
        <v>5105</v>
      </c>
      <c r="C1478" s="1011" t="s">
        <v>5106</v>
      </c>
      <c r="D1478" s="1011" t="s">
        <v>3340</v>
      </c>
      <c r="E1478" s="1011" t="s">
        <v>1588</v>
      </c>
      <c r="F1478" s="1011" t="s">
        <v>1437</v>
      </c>
    </row>
    <row r="1479" spans="1:6" x14ac:dyDescent="0.25">
      <c r="A1479" s="1011">
        <v>4123931</v>
      </c>
      <c r="B1479" s="1011" t="s">
        <v>5107</v>
      </c>
      <c r="C1479" s="1011" t="s">
        <v>5108</v>
      </c>
      <c r="D1479" s="1011" t="s">
        <v>5109</v>
      </c>
      <c r="E1479" s="1011" t="s">
        <v>1583</v>
      </c>
      <c r="F1479" s="1011" t="s">
        <v>5110</v>
      </c>
    </row>
    <row r="1480" spans="1:6" x14ac:dyDescent="0.25">
      <c r="A1480" s="1011">
        <v>74172057</v>
      </c>
      <c r="B1480" s="1011" t="s">
        <v>5111</v>
      </c>
      <c r="C1480" s="1011" t="s">
        <v>5112</v>
      </c>
      <c r="D1480" s="1011" t="s">
        <v>1698</v>
      </c>
      <c r="E1480" s="1011" t="s">
        <v>1593</v>
      </c>
      <c r="F1480" s="1011" t="s">
        <v>1699</v>
      </c>
    </row>
    <row r="1481" spans="1:6" x14ac:dyDescent="0.25">
      <c r="A1481" s="1011">
        <v>74125428</v>
      </c>
      <c r="B1481" s="1011" t="s">
        <v>5113</v>
      </c>
      <c r="C1481" s="1011" t="s">
        <v>5114</v>
      </c>
      <c r="D1481" s="1011" t="s">
        <v>3138</v>
      </c>
      <c r="E1481" s="1011" t="s">
        <v>1588</v>
      </c>
      <c r="F1481" s="1011" t="s">
        <v>3139</v>
      </c>
    </row>
    <row r="1482" spans="1:6" x14ac:dyDescent="0.25">
      <c r="A1482" s="1011">
        <v>64123763</v>
      </c>
      <c r="B1482" s="1011" t="s">
        <v>5115</v>
      </c>
      <c r="C1482" s="1011" t="s">
        <v>5116</v>
      </c>
      <c r="D1482" s="1011" t="s">
        <v>1728</v>
      </c>
      <c r="E1482" s="1011" t="s">
        <v>1593</v>
      </c>
      <c r="F1482" s="1011" t="s">
        <v>1729</v>
      </c>
    </row>
    <row r="1483" spans="1:6" x14ac:dyDescent="0.25">
      <c r="A1483" s="1011">
        <v>94125572</v>
      </c>
      <c r="B1483" s="1011" t="s">
        <v>5117</v>
      </c>
      <c r="C1483" s="1011" t="s">
        <v>5118</v>
      </c>
      <c r="D1483" s="1011" t="s">
        <v>1808</v>
      </c>
      <c r="E1483" s="1011" t="s">
        <v>1588</v>
      </c>
      <c r="F1483" s="1011" t="s">
        <v>1809</v>
      </c>
    </row>
    <row r="1484" spans="1:6" x14ac:dyDescent="0.25">
      <c r="A1484" s="1011">
        <v>34123380</v>
      </c>
      <c r="B1484" s="1011" t="s">
        <v>5119</v>
      </c>
      <c r="C1484" s="1011" t="s">
        <v>5120</v>
      </c>
      <c r="D1484" s="1011" t="s">
        <v>2465</v>
      </c>
      <c r="E1484" s="1011" t="s">
        <v>1593</v>
      </c>
      <c r="F1484" s="1011" t="s">
        <v>2466</v>
      </c>
    </row>
    <row r="1485" spans="1:6" x14ac:dyDescent="0.25">
      <c r="A1485" s="1011">
        <v>4238325</v>
      </c>
      <c r="B1485" s="1011" t="s">
        <v>5121</v>
      </c>
      <c r="C1485" s="1011" t="s">
        <v>4373</v>
      </c>
      <c r="D1485" s="1011" t="s">
        <v>4374</v>
      </c>
      <c r="E1485" s="1011" t="s">
        <v>1593</v>
      </c>
      <c r="F1485" s="1011" t="s">
        <v>4375</v>
      </c>
    </row>
    <row r="1486" spans="1:6" x14ac:dyDescent="0.25">
      <c r="A1486" s="1011">
        <v>94232535</v>
      </c>
      <c r="B1486" s="1011" t="s">
        <v>5122</v>
      </c>
      <c r="C1486" s="1011" t="s">
        <v>5123</v>
      </c>
      <c r="D1486" s="1011" t="s">
        <v>4821</v>
      </c>
      <c r="E1486" s="1011" t="s">
        <v>1593</v>
      </c>
      <c r="F1486" s="1011" t="s">
        <v>1339</v>
      </c>
    </row>
    <row r="1487" spans="1:6" x14ac:dyDescent="0.25">
      <c r="A1487" s="1011">
        <v>24124737</v>
      </c>
      <c r="B1487" s="1011" t="s">
        <v>5124</v>
      </c>
      <c r="C1487" s="1011" t="s">
        <v>3310</v>
      </c>
      <c r="D1487" s="1011" t="s">
        <v>2530</v>
      </c>
      <c r="E1487" s="1011" t="s">
        <v>1583</v>
      </c>
      <c r="F1487" s="1011" t="s">
        <v>1379</v>
      </c>
    </row>
    <row r="1488" spans="1:6" x14ac:dyDescent="0.25">
      <c r="A1488" s="1011">
        <v>84125517</v>
      </c>
      <c r="B1488" s="1011" t="s">
        <v>5125</v>
      </c>
      <c r="C1488" s="1011" t="s">
        <v>5126</v>
      </c>
      <c r="D1488" s="1011" t="s">
        <v>5127</v>
      </c>
      <c r="E1488" s="1011" t="s">
        <v>1588</v>
      </c>
      <c r="F1488" s="1011" t="s">
        <v>5128</v>
      </c>
    </row>
    <row r="1489" spans="1:6" x14ac:dyDescent="0.25">
      <c r="A1489" s="1011">
        <v>54125778</v>
      </c>
      <c r="B1489" s="1011" t="s">
        <v>5129</v>
      </c>
      <c r="C1489" s="1011" t="s">
        <v>5130</v>
      </c>
      <c r="D1489" s="1011" t="s">
        <v>1125</v>
      </c>
      <c r="E1489" s="1011" t="s">
        <v>1588</v>
      </c>
      <c r="F1489" s="1011" t="s">
        <v>1616</v>
      </c>
    </row>
    <row r="1490" spans="1:6" x14ac:dyDescent="0.25">
      <c r="A1490" s="1011">
        <v>54164645</v>
      </c>
      <c r="B1490" s="1011" t="s">
        <v>5131</v>
      </c>
      <c r="C1490" s="1011" t="s">
        <v>5132</v>
      </c>
      <c r="D1490" s="1011" t="s">
        <v>1728</v>
      </c>
      <c r="E1490" s="1011" t="s">
        <v>1593</v>
      </c>
      <c r="F1490" s="1011" t="s">
        <v>1729</v>
      </c>
    </row>
    <row r="1491" spans="1:6" x14ac:dyDescent="0.25">
      <c r="A1491" s="1011">
        <v>24143448</v>
      </c>
      <c r="B1491" s="1011" t="s">
        <v>5133</v>
      </c>
      <c r="C1491" s="1011" t="s">
        <v>2468</v>
      </c>
      <c r="D1491" s="1011" t="s">
        <v>1969</v>
      </c>
      <c r="E1491" s="1011" t="s">
        <v>1593</v>
      </c>
      <c r="F1491" s="1011" t="s">
        <v>1970</v>
      </c>
    </row>
    <row r="1492" spans="1:6" x14ac:dyDescent="0.25">
      <c r="A1492" s="1011">
        <v>74123498</v>
      </c>
      <c r="B1492" s="1011" t="s">
        <v>5134</v>
      </c>
      <c r="C1492" s="1011" t="s">
        <v>2701</v>
      </c>
      <c r="D1492" s="1011" t="s">
        <v>1127</v>
      </c>
      <c r="E1492" s="1011" t="s">
        <v>1593</v>
      </c>
      <c r="F1492" s="1011" t="s">
        <v>1383</v>
      </c>
    </row>
    <row r="1493" spans="1:6" x14ac:dyDescent="0.25">
      <c r="A1493" s="1011">
        <v>64125578</v>
      </c>
      <c r="B1493" s="1011" t="s">
        <v>5135</v>
      </c>
      <c r="C1493" s="1011" t="s">
        <v>5136</v>
      </c>
      <c r="D1493" s="1011" t="s">
        <v>2630</v>
      </c>
      <c r="E1493" s="1011" t="s">
        <v>1588</v>
      </c>
      <c r="F1493" s="1011" t="s">
        <v>2631</v>
      </c>
    </row>
    <row r="1494" spans="1:6" x14ac:dyDescent="0.25">
      <c r="A1494" s="1011">
        <v>94220688</v>
      </c>
      <c r="B1494" s="1011" t="s">
        <v>5137</v>
      </c>
      <c r="C1494" s="1011" t="s">
        <v>5138</v>
      </c>
      <c r="D1494" s="1011" t="s">
        <v>1857</v>
      </c>
      <c r="E1494" s="1011" t="s">
        <v>1593</v>
      </c>
      <c r="F1494" s="1011" t="s">
        <v>1858</v>
      </c>
    </row>
    <row r="1495" spans="1:6" x14ac:dyDescent="0.25">
      <c r="A1495" s="1011">
        <v>34124628</v>
      </c>
      <c r="B1495" s="1011" t="s">
        <v>5139</v>
      </c>
      <c r="C1495" s="1011" t="s">
        <v>5140</v>
      </c>
      <c r="D1495" s="1011" t="s">
        <v>65</v>
      </c>
      <c r="E1495" s="1011" t="s">
        <v>1583</v>
      </c>
      <c r="F1495" s="1011" t="s">
        <v>3417</v>
      </c>
    </row>
    <row r="1496" spans="1:6" x14ac:dyDescent="0.25">
      <c r="A1496" s="1011">
        <v>24124943</v>
      </c>
      <c r="B1496" s="1011" t="s">
        <v>5141</v>
      </c>
      <c r="C1496" s="1011" t="s">
        <v>5142</v>
      </c>
      <c r="D1496" s="1011" t="s">
        <v>3377</v>
      </c>
      <c r="E1496" s="1011" t="s">
        <v>1583</v>
      </c>
      <c r="F1496" s="1011" t="s">
        <v>3378</v>
      </c>
    </row>
    <row r="1497" spans="1:6" x14ac:dyDescent="0.25">
      <c r="A1497" s="1011">
        <v>44124071</v>
      </c>
      <c r="B1497" s="1011" t="s">
        <v>5143</v>
      </c>
      <c r="C1497" s="1011" t="s">
        <v>5144</v>
      </c>
      <c r="D1497" s="1011" t="s">
        <v>1127</v>
      </c>
      <c r="E1497" s="1011" t="s">
        <v>1593</v>
      </c>
      <c r="F1497" s="1011" t="s">
        <v>1449</v>
      </c>
    </row>
    <row r="1498" spans="1:6" x14ac:dyDescent="0.25">
      <c r="A1498" s="1011">
        <v>94168200</v>
      </c>
      <c r="B1498" s="1011" t="s">
        <v>5145</v>
      </c>
      <c r="C1498" s="1011" t="s">
        <v>5146</v>
      </c>
      <c r="D1498" s="1011" t="s">
        <v>1732</v>
      </c>
      <c r="E1498" s="1011" t="s">
        <v>1588</v>
      </c>
      <c r="F1498" s="1011" t="s">
        <v>1369</v>
      </c>
    </row>
    <row r="1499" spans="1:6" x14ac:dyDescent="0.25">
      <c r="A1499" s="1011">
        <v>4123428</v>
      </c>
      <c r="B1499" s="1011" t="s">
        <v>5147</v>
      </c>
      <c r="C1499" s="1011" t="s">
        <v>5148</v>
      </c>
      <c r="D1499" s="1011" t="s">
        <v>1127</v>
      </c>
      <c r="E1499" s="1011" t="s">
        <v>1593</v>
      </c>
      <c r="F1499" s="1011" t="s">
        <v>1383</v>
      </c>
    </row>
    <row r="1500" spans="1:6" x14ac:dyDescent="0.25">
      <c r="A1500" s="1011">
        <v>74234170</v>
      </c>
      <c r="B1500" s="1011" t="s">
        <v>5149</v>
      </c>
      <c r="C1500" s="1011" t="s">
        <v>5150</v>
      </c>
      <c r="D1500" s="1011" t="s">
        <v>1756</v>
      </c>
      <c r="E1500" s="1011" t="s">
        <v>1593</v>
      </c>
      <c r="F1500" s="1011" t="s">
        <v>1429</v>
      </c>
    </row>
    <row r="1501" spans="1:6" x14ac:dyDescent="0.25">
      <c r="A1501" s="1011">
        <v>84124478</v>
      </c>
      <c r="B1501" s="1011" t="s">
        <v>5151</v>
      </c>
      <c r="C1501" s="1011" t="s">
        <v>5152</v>
      </c>
      <c r="D1501" s="1011" t="s">
        <v>1685</v>
      </c>
      <c r="E1501" s="1011" t="s">
        <v>1593</v>
      </c>
      <c r="F1501" s="1011" t="s">
        <v>1469</v>
      </c>
    </row>
    <row r="1502" spans="1:6" x14ac:dyDescent="0.25">
      <c r="A1502" s="1011">
        <v>94123825</v>
      </c>
      <c r="B1502" s="1011" t="s">
        <v>5153</v>
      </c>
      <c r="C1502" s="1011" t="s">
        <v>5154</v>
      </c>
      <c r="D1502" s="1011" t="s">
        <v>1127</v>
      </c>
      <c r="E1502" s="1011" t="s">
        <v>1593</v>
      </c>
      <c r="F1502" s="1011" t="s">
        <v>1461</v>
      </c>
    </row>
    <row r="1503" spans="1:6" x14ac:dyDescent="0.25">
      <c r="A1503" s="1011">
        <v>94124286</v>
      </c>
      <c r="B1503" s="1011" t="s">
        <v>5155</v>
      </c>
      <c r="C1503" s="1011" t="s">
        <v>5156</v>
      </c>
      <c r="D1503" s="1011" t="s">
        <v>4821</v>
      </c>
      <c r="E1503" s="1011" t="s">
        <v>1593</v>
      </c>
      <c r="F1503" s="1011" t="s">
        <v>1339</v>
      </c>
    </row>
    <row r="1504" spans="1:6" x14ac:dyDescent="0.25">
      <c r="A1504" s="1011">
        <v>64123649</v>
      </c>
      <c r="B1504" s="1011" t="s">
        <v>5157</v>
      </c>
      <c r="C1504" s="1011" t="s">
        <v>2677</v>
      </c>
      <c r="D1504" s="1011" t="s">
        <v>1685</v>
      </c>
      <c r="E1504" s="1011" t="s">
        <v>1593</v>
      </c>
      <c r="F1504" s="1011" t="s">
        <v>1469</v>
      </c>
    </row>
    <row r="1505" spans="1:6" x14ac:dyDescent="0.25">
      <c r="A1505" s="1011">
        <v>54128236</v>
      </c>
      <c r="B1505" s="1011" t="s">
        <v>5158</v>
      </c>
      <c r="C1505" s="1011" t="s">
        <v>5159</v>
      </c>
      <c r="D1505" s="1011" t="s">
        <v>2801</v>
      </c>
      <c r="E1505" s="1011" t="s">
        <v>1583</v>
      </c>
      <c r="F1505" s="1011" t="s">
        <v>2802</v>
      </c>
    </row>
    <row r="1506" spans="1:6" x14ac:dyDescent="0.25">
      <c r="A1506" s="1011">
        <v>84124148</v>
      </c>
      <c r="B1506" s="1011" t="s">
        <v>5160</v>
      </c>
      <c r="C1506" s="1011" t="s">
        <v>5161</v>
      </c>
      <c r="D1506" s="1011" t="s">
        <v>2376</v>
      </c>
      <c r="E1506" s="1011" t="s">
        <v>1593</v>
      </c>
      <c r="F1506" s="1011" t="s">
        <v>5162</v>
      </c>
    </row>
    <row r="1507" spans="1:6" x14ac:dyDescent="0.25">
      <c r="A1507" s="1011">
        <v>64124134</v>
      </c>
      <c r="B1507" s="1011" t="s">
        <v>5163</v>
      </c>
      <c r="C1507" s="1011" t="s">
        <v>5164</v>
      </c>
      <c r="D1507" s="1011" t="s">
        <v>1127</v>
      </c>
      <c r="E1507" s="1011" t="s">
        <v>1593</v>
      </c>
      <c r="F1507" s="1011" t="s">
        <v>1375</v>
      </c>
    </row>
    <row r="1508" spans="1:6" x14ac:dyDescent="0.25">
      <c r="A1508" s="1011">
        <v>24228140</v>
      </c>
      <c r="B1508" s="1011" t="s">
        <v>5165</v>
      </c>
      <c r="C1508" s="1011" t="s">
        <v>5166</v>
      </c>
      <c r="D1508" s="1011" t="s">
        <v>1125</v>
      </c>
      <c r="E1508" s="1011" t="s">
        <v>1588</v>
      </c>
      <c r="F1508" s="1011" t="s">
        <v>1770</v>
      </c>
    </row>
    <row r="1509" spans="1:6" x14ac:dyDescent="0.25">
      <c r="A1509" s="1011">
        <v>34124388</v>
      </c>
      <c r="B1509" s="1011" t="s">
        <v>5167</v>
      </c>
      <c r="C1509" s="1011" t="s">
        <v>5168</v>
      </c>
      <c r="D1509" s="1011" t="s">
        <v>4132</v>
      </c>
      <c r="E1509" s="1011" t="s">
        <v>1583</v>
      </c>
      <c r="F1509" s="1011" t="s">
        <v>1459</v>
      </c>
    </row>
    <row r="1510" spans="1:6" x14ac:dyDescent="0.25">
      <c r="A1510" s="1011">
        <v>4124137</v>
      </c>
      <c r="B1510" s="1011" t="s">
        <v>5169</v>
      </c>
      <c r="C1510" s="1011" t="s">
        <v>2880</v>
      </c>
      <c r="D1510" s="1011" t="s">
        <v>1728</v>
      </c>
      <c r="E1510" s="1011" t="s">
        <v>1593</v>
      </c>
      <c r="F1510" s="1011" t="s">
        <v>1729</v>
      </c>
    </row>
    <row r="1511" spans="1:6" x14ac:dyDescent="0.25">
      <c r="A1511" s="1011">
        <v>94163474</v>
      </c>
      <c r="B1511" s="1011" t="s">
        <v>5170</v>
      </c>
      <c r="C1511" s="1011" t="s">
        <v>5171</v>
      </c>
      <c r="D1511" s="1011" t="s">
        <v>3120</v>
      </c>
      <c r="E1511" s="1011" t="s">
        <v>1593</v>
      </c>
      <c r="F1511" s="1011" t="s">
        <v>3121</v>
      </c>
    </row>
    <row r="1512" spans="1:6" x14ac:dyDescent="0.25">
      <c r="A1512" s="1011">
        <v>54125026</v>
      </c>
      <c r="B1512" s="1011" t="s">
        <v>5172</v>
      </c>
      <c r="C1512" s="1011" t="s">
        <v>5173</v>
      </c>
      <c r="D1512" s="1011" t="s">
        <v>4054</v>
      </c>
      <c r="E1512" s="1011" t="s">
        <v>1583</v>
      </c>
      <c r="F1512" s="1011" t="s">
        <v>4055</v>
      </c>
    </row>
    <row r="1513" spans="1:6" x14ac:dyDescent="0.25">
      <c r="A1513" s="1011">
        <v>34125427</v>
      </c>
      <c r="B1513" s="1011" t="s">
        <v>5174</v>
      </c>
      <c r="C1513" s="1011" t="s">
        <v>5175</v>
      </c>
      <c r="D1513" s="1011" t="s">
        <v>3262</v>
      </c>
      <c r="E1513" s="1011" t="s">
        <v>1588</v>
      </c>
      <c r="F1513" s="1011" t="s">
        <v>3263</v>
      </c>
    </row>
    <row r="1514" spans="1:6" x14ac:dyDescent="0.25">
      <c r="A1514" s="1011">
        <v>44125292</v>
      </c>
      <c r="B1514" s="1011" t="s">
        <v>5176</v>
      </c>
      <c r="C1514" s="1011" t="s">
        <v>5177</v>
      </c>
      <c r="D1514" s="1011" t="s">
        <v>5178</v>
      </c>
      <c r="E1514" s="1011" t="s">
        <v>1612</v>
      </c>
      <c r="F1514" s="1011" t="s">
        <v>5179</v>
      </c>
    </row>
    <row r="1515" spans="1:6" x14ac:dyDescent="0.25">
      <c r="A1515" s="1011">
        <v>84125350</v>
      </c>
      <c r="B1515" s="1011" t="s">
        <v>5180</v>
      </c>
      <c r="C1515" s="1011" t="s">
        <v>5181</v>
      </c>
      <c r="D1515" s="1011" t="s">
        <v>72</v>
      </c>
      <c r="E1515" s="1011" t="s">
        <v>1612</v>
      </c>
      <c r="F1515" s="1011" t="s">
        <v>4726</v>
      </c>
    </row>
    <row r="1516" spans="1:6" x14ac:dyDescent="0.25">
      <c r="A1516" s="1011">
        <v>24153454</v>
      </c>
      <c r="B1516" s="1011" t="s">
        <v>5182</v>
      </c>
      <c r="C1516" s="1011" t="s">
        <v>5183</v>
      </c>
      <c r="D1516" s="1011" t="s">
        <v>1880</v>
      </c>
      <c r="E1516" s="1011" t="s">
        <v>1583</v>
      </c>
      <c r="F1516" s="1011" t="s">
        <v>1881</v>
      </c>
    </row>
    <row r="1517" spans="1:6" x14ac:dyDescent="0.25">
      <c r="A1517" s="1011">
        <v>74123704</v>
      </c>
      <c r="B1517" s="1011" t="s">
        <v>5184</v>
      </c>
      <c r="C1517" s="1011" t="s">
        <v>5185</v>
      </c>
      <c r="D1517" s="1011" t="s">
        <v>2649</v>
      </c>
      <c r="E1517" s="1011" t="s">
        <v>1593</v>
      </c>
      <c r="F1517" s="1011" t="s">
        <v>2650</v>
      </c>
    </row>
    <row r="1518" spans="1:6" x14ac:dyDescent="0.25">
      <c r="A1518" s="1011">
        <v>4125738</v>
      </c>
      <c r="B1518" s="1011" t="s">
        <v>5052</v>
      </c>
      <c r="C1518" s="1011" t="s">
        <v>5186</v>
      </c>
      <c r="D1518" s="1011" t="s">
        <v>1611</v>
      </c>
      <c r="E1518" s="1011" t="s">
        <v>1612</v>
      </c>
      <c r="F1518" s="1011" t="s">
        <v>1613</v>
      </c>
    </row>
    <row r="1519" spans="1:6" x14ac:dyDescent="0.25">
      <c r="A1519" s="1011">
        <v>64128218</v>
      </c>
      <c r="B1519" s="1011" t="s">
        <v>5187</v>
      </c>
      <c r="C1519" s="1011" t="s">
        <v>5188</v>
      </c>
      <c r="D1519" s="1011" t="s">
        <v>1596</v>
      </c>
      <c r="E1519" s="1011" t="s">
        <v>1593</v>
      </c>
      <c r="F1519" s="1011" t="s">
        <v>1351</v>
      </c>
    </row>
    <row r="1520" spans="1:6" x14ac:dyDescent="0.25">
      <c r="A1520" s="1011">
        <v>24125197</v>
      </c>
      <c r="B1520" s="1011" t="s">
        <v>5189</v>
      </c>
      <c r="C1520" s="1011" t="s">
        <v>5190</v>
      </c>
      <c r="D1520" s="1011" t="s">
        <v>1892</v>
      </c>
      <c r="E1520" s="1011" t="s">
        <v>1583</v>
      </c>
      <c r="F1520" s="1011" t="s">
        <v>1371</v>
      </c>
    </row>
    <row r="1521" spans="1:6" x14ac:dyDescent="0.25">
      <c r="A1521" s="1011">
        <v>24183675</v>
      </c>
      <c r="B1521" s="1011" t="s">
        <v>5191</v>
      </c>
      <c r="C1521" s="1011" t="s">
        <v>5192</v>
      </c>
      <c r="D1521" s="1011" t="s">
        <v>1596</v>
      </c>
      <c r="E1521" s="1011" t="s">
        <v>1593</v>
      </c>
      <c r="F1521" s="1011" t="s">
        <v>1351</v>
      </c>
    </row>
    <row r="1522" spans="1:6" x14ac:dyDescent="0.25">
      <c r="A1522" s="1011">
        <v>54124383</v>
      </c>
      <c r="B1522" s="1011" t="s">
        <v>5193</v>
      </c>
      <c r="C1522" s="1011" t="s">
        <v>5194</v>
      </c>
      <c r="D1522" s="1011" t="s">
        <v>1127</v>
      </c>
      <c r="E1522" s="1011" t="s">
        <v>1593</v>
      </c>
      <c r="F1522" s="1011" t="s">
        <v>1449</v>
      </c>
    </row>
    <row r="1523" spans="1:6" x14ac:dyDescent="0.25">
      <c r="A1523" s="1011">
        <v>4126033</v>
      </c>
      <c r="B1523" s="1011" t="s">
        <v>5195</v>
      </c>
      <c r="C1523" s="1011" t="s">
        <v>5196</v>
      </c>
      <c r="D1523" s="1011" t="s">
        <v>1776</v>
      </c>
      <c r="E1523" s="1011" t="s">
        <v>1612</v>
      </c>
      <c r="F1523" s="1011" t="s">
        <v>1777</v>
      </c>
    </row>
    <row r="1524" spans="1:6" x14ac:dyDescent="0.25">
      <c r="A1524" s="1011">
        <v>14125363</v>
      </c>
      <c r="B1524" s="1011" t="s">
        <v>5197</v>
      </c>
      <c r="C1524" s="1011" t="s">
        <v>5198</v>
      </c>
      <c r="D1524" s="1011" t="s">
        <v>5026</v>
      </c>
      <c r="E1524" s="1011" t="s">
        <v>1612</v>
      </c>
      <c r="F1524" s="1011" t="s">
        <v>5027</v>
      </c>
    </row>
    <row r="1525" spans="1:6" x14ac:dyDescent="0.25">
      <c r="A1525" s="1011">
        <v>44125904</v>
      </c>
      <c r="B1525" s="1011" t="s">
        <v>5199</v>
      </c>
      <c r="C1525" s="1011" t="s">
        <v>5200</v>
      </c>
      <c r="D1525" s="1011" t="s">
        <v>3987</v>
      </c>
      <c r="E1525" s="1011" t="s">
        <v>1612</v>
      </c>
      <c r="F1525" s="1011" t="s">
        <v>3988</v>
      </c>
    </row>
    <row r="1526" spans="1:6" x14ac:dyDescent="0.25">
      <c r="A1526" s="1011">
        <v>4123808</v>
      </c>
      <c r="B1526" s="1011" t="s">
        <v>5201</v>
      </c>
      <c r="C1526" s="1011" t="s">
        <v>3584</v>
      </c>
      <c r="D1526" s="1011" t="s">
        <v>1756</v>
      </c>
      <c r="E1526" s="1011" t="s">
        <v>1593</v>
      </c>
      <c r="F1526" s="1011" t="s">
        <v>1429</v>
      </c>
    </row>
    <row r="1527" spans="1:6" x14ac:dyDescent="0.25">
      <c r="A1527" s="1011">
        <v>54123989</v>
      </c>
      <c r="B1527" s="1011" t="s">
        <v>5202</v>
      </c>
      <c r="C1527" s="1011" t="s">
        <v>5203</v>
      </c>
      <c r="D1527" s="1011" t="s">
        <v>2074</v>
      </c>
      <c r="E1527" s="1011" t="s">
        <v>1593</v>
      </c>
      <c r="F1527" s="1011" t="s">
        <v>2075</v>
      </c>
    </row>
    <row r="1528" spans="1:6" x14ac:dyDescent="0.25">
      <c r="A1528" s="1011">
        <v>44123784</v>
      </c>
      <c r="B1528" s="1011" t="s">
        <v>5204</v>
      </c>
      <c r="C1528" s="1011" t="s">
        <v>4104</v>
      </c>
      <c r="D1528" s="1011" t="s">
        <v>1857</v>
      </c>
      <c r="E1528" s="1011" t="s">
        <v>1593</v>
      </c>
      <c r="F1528" s="1011" t="s">
        <v>1858</v>
      </c>
    </row>
    <row r="1529" spans="1:6" x14ac:dyDescent="0.25">
      <c r="A1529" s="1011">
        <v>4124103</v>
      </c>
      <c r="B1529" s="1011" t="s">
        <v>5205</v>
      </c>
      <c r="C1529" s="1011" t="s">
        <v>3617</v>
      </c>
      <c r="D1529" s="1011" t="s">
        <v>1127</v>
      </c>
      <c r="E1529" s="1011" t="s">
        <v>1593</v>
      </c>
      <c r="F1529" s="1011" t="s">
        <v>1383</v>
      </c>
    </row>
    <row r="1530" spans="1:6" x14ac:dyDescent="0.25">
      <c r="A1530" s="1011">
        <v>94125937</v>
      </c>
      <c r="B1530" s="1011" t="s">
        <v>5206</v>
      </c>
      <c r="C1530" s="1011" t="s">
        <v>5207</v>
      </c>
      <c r="D1530" s="1011" t="s">
        <v>5208</v>
      </c>
      <c r="E1530" s="1011" t="s">
        <v>1593</v>
      </c>
      <c r="F1530" s="1011" t="s">
        <v>5209</v>
      </c>
    </row>
    <row r="1531" spans="1:6" x14ac:dyDescent="0.25">
      <c r="A1531" s="1011">
        <v>64125438</v>
      </c>
      <c r="B1531" s="1011" t="s">
        <v>5210</v>
      </c>
      <c r="C1531" s="1011" t="s">
        <v>5211</v>
      </c>
      <c r="D1531" s="1011" t="s">
        <v>5208</v>
      </c>
      <c r="E1531" s="1011" t="s">
        <v>1593</v>
      </c>
      <c r="F1531" s="1011" t="s">
        <v>5209</v>
      </c>
    </row>
    <row r="1532" spans="1:6" x14ac:dyDescent="0.25">
      <c r="A1532" s="1011">
        <v>64136393</v>
      </c>
      <c r="B1532" s="1011" t="s">
        <v>5067</v>
      </c>
      <c r="C1532" s="1011" t="s">
        <v>5212</v>
      </c>
      <c r="D1532" s="1011" t="s">
        <v>1892</v>
      </c>
      <c r="E1532" s="1011" t="s">
        <v>1583</v>
      </c>
      <c r="F1532" s="1011" t="s">
        <v>1371</v>
      </c>
    </row>
    <row r="1533" spans="1:6" x14ac:dyDescent="0.25">
      <c r="A1533" s="1011">
        <v>4124855</v>
      </c>
      <c r="B1533" s="1011" t="s">
        <v>5213</v>
      </c>
      <c r="C1533" s="1011" t="s">
        <v>5214</v>
      </c>
      <c r="D1533" s="1011" t="s">
        <v>2686</v>
      </c>
      <c r="E1533" s="1011" t="s">
        <v>1583</v>
      </c>
      <c r="F1533" s="1011" t="s">
        <v>2687</v>
      </c>
    </row>
    <row r="1534" spans="1:6" x14ac:dyDescent="0.25">
      <c r="A1534" s="1011">
        <v>94123627</v>
      </c>
      <c r="B1534" s="1011" t="s">
        <v>5215</v>
      </c>
      <c r="C1534" s="1011" t="s">
        <v>5216</v>
      </c>
      <c r="D1534" s="1011" t="s">
        <v>1127</v>
      </c>
      <c r="E1534" s="1011" t="s">
        <v>1593</v>
      </c>
      <c r="F1534" s="1011" t="s">
        <v>1445</v>
      </c>
    </row>
    <row r="1535" spans="1:6" x14ac:dyDescent="0.25">
      <c r="A1535" s="1011">
        <v>64124142</v>
      </c>
      <c r="B1535" s="1011" t="s">
        <v>5217</v>
      </c>
      <c r="C1535" s="1011" t="s">
        <v>5218</v>
      </c>
      <c r="D1535" s="1011" t="s">
        <v>1728</v>
      </c>
      <c r="E1535" s="1011" t="s">
        <v>1593</v>
      </c>
      <c r="F1535" s="1011" t="s">
        <v>1729</v>
      </c>
    </row>
    <row r="1536" spans="1:6" x14ac:dyDescent="0.25">
      <c r="A1536" s="1011">
        <v>4123345</v>
      </c>
      <c r="B1536" s="1011" t="s">
        <v>5219</v>
      </c>
      <c r="C1536" s="1011" t="s">
        <v>5220</v>
      </c>
      <c r="D1536" s="1011" t="s">
        <v>3691</v>
      </c>
      <c r="E1536" s="1011" t="s">
        <v>1593</v>
      </c>
      <c r="F1536" s="1011" t="s">
        <v>1455</v>
      </c>
    </row>
    <row r="1537" spans="1:6" x14ac:dyDescent="0.25">
      <c r="A1537" s="1011">
        <v>94089331</v>
      </c>
      <c r="B1537" s="1011" t="s">
        <v>5221</v>
      </c>
      <c r="C1537" s="1011" t="s">
        <v>5222</v>
      </c>
      <c r="D1537" s="1011" t="s">
        <v>1756</v>
      </c>
      <c r="E1537" s="1011" t="s">
        <v>1593</v>
      </c>
      <c r="F1537" s="1011" t="s">
        <v>1429</v>
      </c>
    </row>
    <row r="1538" spans="1:6" x14ac:dyDescent="0.25">
      <c r="A1538" s="1011">
        <v>24124679</v>
      </c>
      <c r="B1538" s="1011" t="s">
        <v>5036</v>
      </c>
      <c r="C1538" s="1011" t="s">
        <v>5037</v>
      </c>
      <c r="D1538" s="1011" t="s">
        <v>2969</v>
      </c>
      <c r="E1538" s="1011" t="s">
        <v>1583</v>
      </c>
      <c r="F1538" s="1011" t="s">
        <v>1451</v>
      </c>
    </row>
    <row r="1539" spans="1:6" x14ac:dyDescent="0.25">
      <c r="A1539" s="1011">
        <v>94125994</v>
      </c>
      <c r="B1539" s="1011" t="s">
        <v>5223</v>
      </c>
      <c r="C1539" s="1011" t="s">
        <v>2707</v>
      </c>
      <c r="D1539" s="1011" t="s">
        <v>2708</v>
      </c>
      <c r="E1539" s="1011" t="s">
        <v>1588</v>
      </c>
      <c r="F1539" s="1011" t="s">
        <v>2709</v>
      </c>
    </row>
    <row r="1540" spans="1:6" x14ac:dyDescent="0.25">
      <c r="A1540" s="1011">
        <v>74124413</v>
      </c>
      <c r="B1540" s="1011" t="s">
        <v>5224</v>
      </c>
      <c r="C1540" s="1011" t="s">
        <v>5225</v>
      </c>
      <c r="D1540" s="1011" t="s">
        <v>2206</v>
      </c>
      <c r="E1540" s="1011" t="s">
        <v>1593</v>
      </c>
      <c r="F1540" s="1011" t="s">
        <v>2207</v>
      </c>
    </row>
    <row r="1541" spans="1:6" x14ac:dyDescent="0.25">
      <c r="A1541" s="1011">
        <v>24123374</v>
      </c>
      <c r="B1541" s="1011" t="s">
        <v>5226</v>
      </c>
      <c r="C1541" s="1011" t="s">
        <v>5227</v>
      </c>
      <c r="D1541" s="1011" t="s">
        <v>5228</v>
      </c>
      <c r="E1541" s="1011" t="s">
        <v>1593</v>
      </c>
      <c r="F1541" s="1011" t="s">
        <v>1339</v>
      </c>
    </row>
    <row r="1542" spans="1:6" x14ac:dyDescent="0.25">
      <c r="A1542" s="1011">
        <v>34124214</v>
      </c>
      <c r="B1542" s="1011" t="s">
        <v>5229</v>
      </c>
      <c r="C1542" s="1011" t="s">
        <v>5230</v>
      </c>
      <c r="D1542" s="1011" t="s">
        <v>3051</v>
      </c>
      <c r="E1542" s="1011" t="s">
        <v>1583</v>
      </c>
      <c r="F1542" s="1011" t="s">
        <v>1373</v>
      </c>
    </row>
    <row r="1543" spans="1:6" x14ac:dyDescent="0.25">
      <c r="A1543" s="1011">
        <v>94123593</v>
      </c>
      <c r="B1543" s="1011" t="s">
        <v>5231</v>
      </c>
      <c r="C1543" s="1011" t="s">
        <v>2532</v>
      </c>
      <c r="D1543" s="1011" t="s">
        <v>1127</v>
      </c>
      <c r="E1543" s="1011" t="s">
        <v>1593</v>
      </c>
      <c r="F1543" s="1011" t="s">
        <v>1383</v>
      </c>
    </row>
    <row r="1544" spans="1:6" x14ac:dyDescent="0.25">
      <c r="A1544" s="1011">
        <v>94147055</v>
      </c>
      <c r="B1544" s="1011" t="s">
        <v>5232</v>
      </c>
      <c r="C1544" s="1011" t="s">
        <v>5233</v>
      </c>
      <c r="D1544" s="1011" t="s">
        <v>2114</v>
      </c>
      <c r="E1544" s="1011" t="s">
        <v>1583</v>
      </c>
      <c r="F1544" s="1011" t="s">
        <v>1357</v>
      </c>
    </row>
    <row r="1545" spans="1:6" x14ac:dyDescent="0.25">
      <c r="A1545" s="1011">
        <v>34123703</v>
      </c>
      <c r="B1545" s="1011" t="s">
        <v>5234</v>
      </c>
      <c r="C1545" s="1011" t="s">
        <v>5235</v>
      </c>
      <c r="D1545" s="1011" t="s">
        <v>3130</v>
      </c>
      <c r="E1545" s="1011" t="s">
        <v>1593</v>
      </c>
      <c r="F1545" s="1011" t="s">
        <v>3131</v>
      </c>
    </row>
    <row r="1546" spans="1:6" x14ac:dyDescent="0.25">
      <c r="A1546" s="1011">
        <v>44123644</v>
      </c>
      <c r="B1546" s="1011" t="s">
        <v>5236</v>
      </c>
      <c r="C1546" s="1011" t="s">
        <v>5237</v>
      </c>
      <c r="D1546" s="1011" t="s">
        <v>2216</v>
      </c>
      <c r="E1546" s="1011" t="s">
        <v>1593</v>
      </c>
      <c r="F1546" s="1011" t="s">
        <v>2217</v>
      </c>
    </row>
    <row r="1547" spans="1:6" x14ac:dyDescent="0.25">
      <c r="A1547" s="1011">
        <v>74125790</v>
      </c>
      <c r="B1547" s="1011" t="s">
        <v>5238</v>
      </c>
      <c r="C1547" s="1011" t="s">
        <v>4768</v>
      </c>
      <c r="D1547" s="1011" t="s">
        <v>4769</v>
      </c>
      <c r="E1547" s="1011" t="s">
        <v>1588</v>
      </c>
      <c r="F1547" s="1011" t="s">
        <v>4770</v>
      </c>
    </row>
    <row r="1548" spans="1:6" x14ac:dyDescent="0.25">
      <c r="A1548" s="1011">
        <v>4126165</v>
      </c>
      <c r="B1548" s="1011" t="s">
        <v>5239</v>
      </c>
      <c r="C1548" s="1011" t="s">
        <v>5240</v>
      </c>
      <c r="D1548" s="1011" t="s">
        <v>2295</v>
      </c>
      <c r="E1548" s="1011" t="s">
        <v>1612</v>
      </c>
      <c r="F1548" s="1011" t="s">
        <v>2296</v>
      </c>
    </row>
    <row r="1549" spans="1:6" x14ac:dyDescent="0.25">
      <c r="A1549" s="1011">
        <v>24126047</v>
      </c>
      <c r="B1549" s="1011" t="s">
        <v>5241</v>
      </c>
      <c r="C1549" s="1011" t="s">
        <v>5242</v>
      </c>
      <c r="D1549" s="1011" t="s">
        <v>2313</v>
      </c>
      <c r="E1549" s="1011" t="s">
        <v>1588</v>
      </c>
      <c r="F1549" s="1011" t="s">
        <v>1347</v>
      </c>
    </row>
    <row r="1550" spans="1:6" x14ac:dyDescent="0.25">
      <c r="A1550" s="1011">
        <v>74222514</v>
      </c>
      <c r="B1550" s="1011" t="s">
        <v>5243</v>
      </c>
      <c r="C1550" s="1011" t="s">
        <v>5244</v>
      </c>
      <c r="D1550" s="1011" t="s">
        <v>1752</v>
      </c>
      <c r="E1550" s="1011" t="s">
        <v>1588</v>
      </c>
      <c r="F1550" s="1011" t="s">
        <v>1753</v>
      </c>
    </row>
    <row r="1551" spans="1:6" x14ac:dyDescent="0.25">
      <c r="A1551" s="1011">
        <v>84123926</v>
      </c>
      <c r="B1551" s="1011" t="s">
        <v>5245</v>
      </c>
      <c r="C1551" s="1011" t="s">
        <v>5246</v>
      </c>
      <c r="D1551" s="1011" t="s">
        <v>2065</v>
      </c>
      <c r="E1551" s="1011" t="s">
        <v>1583</v>
      </c>
      <c r="F1551" s="1011" t="s">
        <v>2066</v>
      </c>
    </row>
    <row r="1552" spans="1:6" x14ac:dyDescent="0.25">
      <c r="A1552" s="1011">
        <v>14125751</v>
      </c>
      <c r="B1552" s="1011" t="s">
        <v>5247</v>
      </c>
      <c r="C1552" s="1011" t="s">
        <v>5248</v>
      </c>
      <c r="D1552" s="1011" t="s">
        <v>3262</v>
      </c>
      <c r="E1552" s="1011" t="s">
        <v>1588</v>
      </c>
      <c r="F1552" s="1011" t="s">
        <v>3263</v>
      </c>
    </row>
    <row r="1553" spans="1:6" x14ac:dyDescent="0.25">
      <c r="A1553" s="1011">
        <v>44123834</v>
      </c>
      <c r="B1553" s="1011" t="s">
        <v>5249</v>
      </c>
      <c r="C1553" s="1011" t="s">
        <v>5250</v>
      </c>
      <c r="D1553" s="1011" t="s">
        <v>2678</v>
      </c>
      <c r="E1553" s="1011" t="s">
        <v>1593</v>
      </c>
      <c r="F1553" s="1011" t="s">
        <v>2679</v>
      </c>
    </row>
    <row r="1554" spans="1:6" x14ac:dyDescent="0.25">
      <c r="A1554" s="1011">
        <v>64124399</v>
      </c>
      <c r="B1554" s="1011" t="s">
        <v>5251</v>
      </c>
      <c r="C1554" s="1011" t="s">
        <v>5252</v>
      </c>
      <c r="D1554" s="1011" t="s">
        <v>3828</v>
      </c>
      <c r="E1554" s="1011" t="s">
        <v>1593</v>
      </c>
      <c r="F1554" s="1011" t="s">
        <v>3829</v>
      </c>
    </row>
    <row r="1555" spans="1:6" x14ac:dyDescent="0.25">
      <c r="A1555" s="1011">
        <v>54125398</v>
      </c>
      <c r="B1555" s="1011" t="s">
        <v>5253</v>
      </c>
      <c r="C1555" s="1011" t="s">
        <v>5254</v>
      </c>
      <c r="D1555" s="1011" t="s">
        <v>2153</v>
      </c>
      <c r="E1555" s="1011" t="s">
        <v>1588</v>
      </c>
      <c r="F1555" s="1011" t="s">
        <v>1399</v>
      </c>
    </row>
    <row r="1556" spans="1:6" x14ac:dyDescent="0.25">
      <c r="A1556" s="1011">
        <v>84123553</v>
      </c>
      <c r="B1556" s="1011" t="s">
        <v>5255</v>
      </c>
      <c r="C1556" s="1011" t="s">
        <v>5256</v>
      </c>
      <c r="D1556" s="1011" t="s">
        <v>1127</v>
      </c>
      <c r="E1556" s="1011" t="s">
        <v>1593</v>
      </c>
      <c r="F1556" s="1011" t="s">
        <v>1445</v>
      </c>
    </row>
    <row r="1557" spans="1:6" x14ac:dyDescent="0.25">
      <c r="A1557" s="1011">
        <v>64123995</v>
      </c>
      <c r="B1557" s="1011" t="s">
        <v>5257</v>
      </c>
      <c r="C1557" s="1011" t="s">
        <v>5258</v>
      </c>
      <c r="D1557" s="1011" t="s">
        <v>2025</v>
      </c>
      <c r="E1557" s="1011" t="s">
        <v>1593</v>
      </c>
      <c r="F1557" s="1011" t="s">
        <v>1397</v>
      </c>
    </row>
    <row r="1558" spans="1:6" x14ac:dyDescent="0.25">
      <c r="A1558" s="1011">
        <v>94123759</v>
      </c>
      <c r="B1558" s="1011" t="s">
        <v>5259</v>
      </c>
      <c r="C1558" s="1011" t="s">
        <v>5260</v>
      </c>
      <c r="D1558" s="1011" t="s">
        <v>3130</v>
      </c>
      <c r="E1558" s="1011" t="s">
        <v>1593</v>
      </c>
      <c r="F1558" s="1011" t="s">
        <v>3131</v>
      </c>
    </row>
    <row r="1559" spans="1:6" x14ac:dyDescent="0.25">
      <c r="A1559" s="1011">
        <v>14125157</v>
      </c>
      <c r="B1559" s="1011" t="s">
        <v>5261</v>
      </c>
      <c r="C1559" s="1011" t="s">
        <v>5262</v>
      </c>
      <c r="D1559" s="1011" t="s">
        <v>2439</v>
      </c>
      <c r="E1559" s="1011" t="s">
        <v>1583</v>
      </c>
      <c r="F1559" s="1011" t="s">
        <v>2440</v>
      </c>
    </row>
    <row r="1560" spans="1:6" x14ac:dyDescent="0.25">
      <c r="A1560" s="1011">
        <v>94125465</v>
      </c>
      <c r="B1560" s="1011" t="s">
        <v>5263</v>
      </c>
      <c r="C1560" s="1011" t="s">
        <v>5264</v>
      </c>
      <c r="D1560" s="1011" t="s">
        <v>3262</v>
      </c>
      <c r="E1560" s="1011" t="s">
        <v>1588</v>
      </c>
      <c r="F1560" s="1011" t="s">
        <v>3263</v>
      </c>
    </row>
    <row r="1561" spans="1:6" x14ac:dyDescent="0.25">
      <c r="A1561" s="1011">
        <v>64223837</v>
      </c>
      <c r="B1561" s="1011" t="s">
        <v>5265</v>
      </c>
      <c r="C1561" s="1011" t="s">
        <v>5266</v>
      </c>
      <c r="D1561" s="1011" t="s">
        <v>1752</v>
      </c>
      <c r="E1561" s="1011" t="s">
        <v>1588</v>
      </c>
      <c r="F1561" s="1011" t="s">
        <v>1753</v>
      </c>
    </row>
    <row r="1562" spans="1:6" x14ac:dyDescent="0.25">
      <c r="A1562" s="1011">
        <v>64123896</v>
      </c>
      <c r="B1562" s="1011" t="s">
        <v>5267</v>
      </c>
      <c r="C1562" s="1011" t="s">
        <v>5268</v>
      </c>
      <c r="D1562" s="1011" t="s">
        <v>1728</v>
      </c>
      <c r="E1562" s="1011" t="s">
        <v>1593</v>
      </c>
      <c r="F1562" s="1011" t="s">
        <v>1729</v>
      </c>
    </row>
    <row r="1563" spans="1:6" x14ac:dyDescent="0.25">
      <c r="A1563" s="1011">
        <v>74125667</v>
      </c>
      <c r="B1563" s="1011" t="s">
        <v>5269</v>
      </c>
      <c r="C1563" s="1011" t="s">
        <v>5270</v>
      </c>
      <c r="D1563" s="1011" t="s">
        <v>1125</v>
      </c>
      <c r="E1563" s="1011" t="s">
        <v>1588</v>
      </c>
      <c r="F1563" s="1011" t="s">
        <v>1770</v>
      </c>
    </row>
    <row r="1564" spans="1:6" x14ac:dyDescent="0.25">
      <c r="A1564" s="1011">
        <v>64125966</v>
      </c>
      <c r="B1564" s="1011" t="s">
        <v>5271</v>
      </c>
      <c r="C1564" s="1011" t="s">
        <v>5272</v>
      </c>
      <c r="D1564" s="1011" t="s">
        <v>2722</v>
      </c>
      <c r="E1564" s="1011" t="s">
        <v>1588</v>
      </c>
      <c r="F1564" s="1011" t="s">
        <v>2723</v>
      </c>
    </row>
    <row r="1565" spans="1:6" x14ac:dyDescent="0.25">
      <c r="A1565" s="1011">
        <v>34125930</v>
      </c>
      <c r="B1565" s="1011" t="s">
        <v>5273</v>
      </c>
      <c r="C1565" s="1011" t="s">
        <v>5274</v>
      </c>
      <c r="D1565" s="1011" t="s">
        <v>72</v>
      </c>
      <c r="E1565" s="1011" t="s">
        <v>1612</v>
      </c>
      <c r="F1565" s="1011" t="s">
        <v>5275</v>
      </c>
    </row>
    <row r="1566" spans="1:6" x14ac:dyDescent="0.25">
      <c r="A1566" s="1011">
        <v>54125547</v>
      </c>
      <c r="B1566" s="1011" t="s">
        <v>5276</v>
      </c>
      <c r="C1566" s="1011" t="s">
        <v>5277</v>
      </c>
      <c r="D1566" s="1011" t="s">
        <v>3369</v>
      </c>
      <c r="E1566" s="1011" t="s">
        <v>1588</v>
      </c>
      <c r="F1566" s="1011" t="s">
        <v>3370</v>
      </c>
    </row>
    <row r="1567" spans="1:6" x14ac:dyDescent="0.25">
      <c r="A1567" s="1011">
        <v>24124315</v>
      </c>
      <c r="B1567" s="1011" t="s">
        <v>5278</v>
      </c>
      <c r="C1567" s="1011" t="s">
        <v>5279</v>
      </c>
      <c r="D1567" s="1011" t="s">
        <v>1127</v>
      </c>
      <c r="E1567" s="1011" t="s">
        <v>1593</v>
      </c>
      <c r="F1567" s="1011" t="s">
        <v>1383</v>
      </c>
    </row>
    <row r="1568" spans="1:6" x14ac:dyDescent="0.25">
      <c r="A1568" s="1011">
        <v>34157966</v>
      </c>
      <c r="B1568" s="1011" t="s">
        <v>5280</v>
      </c>
      <c r="C1568" s="1011" t="s">
        <v>5281</v>
      </c>
      <c r="D1568" s="1011" t="s">
        <v>4667</v>
      </c>
      <c r="E1568" s="1011" t="s">
        <v>1588</v>
      </c>
      <c r="F1568" s="1011" t="s">
        <v>4668</v>
      </c>
    </row>
    <row r="1569" spans="1:6" x14ac:dyDescent="0.25">
      <c r="A1569" s="1011">
        <v>54108956</v>
      </c>
      <c r="B1569" s="1011" t="s">
        <v>5282</v>
      </c>
      <c r="C1569" s="1011" t="s">
        <v>5283</v>
      </c>
      <c r="D1569" s="1011" t="s">
        <v>2224</v>
      </c>
      <c r="E1569" s="1011" t="s">
        <v>1593</v>
      </c>
      <c r="F1569" s="1011" t="s">
        <v>2225</v>
      </c>
    </row>
    <row r="1570" spans="1:6" x14ac:dyDescent="0.25">
      <c r="A1570" s="1011">
        <v>54164918</v>
      </c>
      <c r="B1570" s="1011" t="s">
        <v>5284</v>
      </c>
      <c r="C1570" s="1011" t="s">
        <v>5285</v>
      </c>
      <c r="D1570" s="1011" t="s">
        <v>4817</v>
      </c>
      <c r="E1570" s="1011" t="s">
        <v>1588</v>
      </c>
      <c r="F1570" s="1011" t="s">
        <v>4818</v>
      </c>
    </row>
    <row r="1571" spans="1:6" x14ac:dyDescent="0.25">
      <c r="A1571" s="1011">
        <v>94124542</v>
      </c>
      <c r="B1571" s="1011" t="s">
        <v>5286</v>
      </c>
      <c r="C1571" s="1011" t="s">
        <v>5287</v>
      </c>
      <c r="D1571" s="1011" t="s">
        <v>5288</v>
      </c>
      <c r="E1571" s="1011" t="s">
        <v>1583</v>
      </c>
      <c r="F1571" s="1011" t="s">
        <v>5289</v>
      </c>
    </row>
    <row r="1572" spans="1:6" x14ac:dyDescent="0.25">
      <c r="A1572" s="1011">
        <v>54124128</v>
      </c>
      <c r="B1572" s="1011" t="s">
        <v>5290</v>
      </c>
      <c r="C1572" s="1011" t="s">
        <v>5291</v>
      </c>
      <c r="D1572" s="1011" t="s">
        <v>2974</v>
      </c>
      <c r="E1572" s="1011" t="s">
        <v>1593</v>
      </c>
      <c r="F1572" s="1011" t="s">
        <v>1389</v>
      </c>
    </row>
    <row r="1573" spans="1:6" x14ac:dyDescent="0.25">
      <c r="A1573" s="1011">
        <v>84125582</v>
      </c>
      <c r="B1573" s="1011" t="s">
        <v>5292</v>
      </c>
      <c r="C1573" s="1011" t="s">
        <v>5086</v>
      </c>
      <c r="D1573" s="1011" t="s">
        <v>3697</v>
      </c>
      <c r="E1573" s="1011" t="s">
        <v>1588</v>
      </c>
      <c r="F1573" s="1011" t="s">
        <v>3698</v>
      </c>
    </row>
    <row r="1574" spans="1:6" x14ac:dyDescent="0.25">
      <c r="A1574" s="1011">
        <v>24125643</v>
      </c>
      <c r="B1574" s="1011" t="s">
        <v>5293</v>
      </c>
      <c r="C1574" s="1011" t="s">
        <v>5294</v>
      </c>
      <c r="D1574" s="1011" t="s">
        <v>2394</v>
      </c>
      <c r="E1574" s="1011" t="s">
        <v>1588</v>
      </c>
      <c r="F1574" s="1011" t="s">
        <v>2395</v>
      </c>
    </row>
    <row r="1575" spans="1:6" x14ac:dyDescent="0.25">
      <c r="A1575" s="1011">
        <v>64125537</v>
      </c>
      <c r="B1575" s="1011" t="s">
        <v>5295</v>
      </c>
      <c r="C1575" s="1011" t="s">
        <v>5296</v>
      </c>
      <c r="D1575" s="1011" t="s">
        <v>1644</v>
      </c>
      <c r="E1575" s="1011" t="s">
        <v>1588</v>
      </c>
      <c r="F1575" s="1011" t="s">
        <v>1645</v>
      </c>
    </row>
    <row r="1576" spans="1:6" x14ac:dyDescent="0.25">
      <c r="A1576" s="1011">
        <v>64126006</v>
      </c>
      <c r="B1576" s="1011" t="s">
        <v>5297</v>
      </c>
      <c r="C1576" s="1011" t="s">
        <v>5298</v>
      </c>
      <c r="D1576" s="1011" t="s">
        <v>1125</v>
      </c>
      <c r="E1576" s="1011" t="s">
        <v>1588</v>
      </c>
      <c r="F1576" s="1011" t="s">
        <v>1421</v>
      </c>
    </row>
    <row r="1577" spans="1:6" x14ac:dyDescent="0.25">
      <c r="A1577" s="1011">
        <v>94125408</v>
      </c>
      <c r="B1577" s="1011" t="s">
        <v>5299</v>
      </c>
      <c r="C1577" s="1011" t="s">
        <v>5300</v>
      </c>
      <c r="D1577" s="1011" t="s">
        <v>2049</v>
      </c>
      <c r="E1577" s="1011" t="s">
        <v>1588</v>
      </c>
      <c r="F1577" s="1011" t="s">
        <v>2050</v>
      </c>
    </row>
    <row r="1578" spans="1:6" x14ac:dyDescent="0.25">
      <c r="A1578" s="1011">
        <v>44228724</v>
      </c>
      <c r="B1578" s="1011" t="s">
        <v>5301</v>
      </c>
      <c r="C1578" s="1011" t="s">
        <v>2436</v>
      </c>
      <c r="D1578" s="1011" t="s">
        <v>1125</v>
      </c>
      <c r="E1578" s="1011" t="s">
        <v>1588</v>
      </c>
      <c r="F1578" s="1011" t="s">
        <v>1770</v>
      </c>
    </row>
    <row r="1579" spans="1:6" x14ac:dyDescent="0.25">
      <c r="A1579" s="1011">
        <v>14123335</v>
      </c>
      <c r="B1579" s="1011" t="s">
        <v>5302</v>
      </c>
      <c r="C1579" s="1011" t="s">
        <v>5303</v>
      </c>
      <c r="D1579" s="1011" t="s">
        <v>1685</v>
      </c>
      <c r="E1579" s="1011" t="s">
        <v>1593</v>
      </c>
      <c r="F1579" s="1011" t="s">
        <v>1469</v>
      </c>
    </row>
    <row r="1580" spans="1:6" x14ac:dyDescent="0.25">
      <c r="A1580" s="1011">
        <v>64125412</v>
      </c>
      <c r="B1580" s="1011" t="s">
        <v>5304</v>
      </c>
      <c r="C1580" s="1011" t="s">
        <v>5305</v>
      </c>
      <c r="D1580" s="1011" t="s">
        <v>5306</v>
      </c>
      <c r="E1580" s="1011" t="s">
        <v>1588</v>
      </c>
      <c r="F1580" s="1011" t="s">
        <v>5307</v>
      </c>
    </row>
    <row r="1581" spans="1:6" x14ac:dyDescent="0.25">
      <c r="A1581" s="1011">
        <v>24126187</v>
      </c>
      <c r="B1581" s="1011" t="s">
        <v>5308</v>
      </c>
      <c r="C1581" s="1011" t="s">
        <v>5309</v>
      </c>
      <c r="D1581" s="1011" t="s">
        <v>2394</v>
      </c>
      <c r="E1581" s="1011" t="s">
        <v>1588</v>
      </c>
      <c r="F1581" s="1011" t="s">
        <v>2395</v>
      </c>
    </row>
    <row r="1582" spans="1:6" x14ac:dyDescent="0.25">
      <c r="A1582" s="1011">
        <v>94244803</v>
      </c>
      <c r="B1582" s="1011" t="s">
        <v>5310</v>
      </c>
      <c r="C1582" s="1011" t="s">
        <v>2167</v>
      </c>
      <c r="D1582" s="1011" t="s">
        <v>1127</v>
      </c>
      <c r="E1582" s="1011" t="s">
        <v>1593</v>
      </c>
      <c r="F1582" s="1011" t="s">
        <v>1383</v>
      </c>
    </row>
    <row r="1583" spans="1:6" x14ac:dyDescent="0.25">
      <c r="A1583" s="1011">
        <v>64124514</v>
      </c>
      <c r="B1583" s="1011" t="s">
        <v>5311</v>
      </c>
      <c r="C1583" s="1011" t="s">
        <v>5312</v>
      </c>
      <c r="D1583" s="1011" t="s">
        <v>1127</v>
      </c>
      <c r="E1583" s="1011" t="s">
        <v>1593</v>
      </c>
      <c r="F1583" s="1011" t="s">
        <v>1375</v>
      </c>
    </row>
    <row r="1584" spans="1:6" x14ac:dyDescent="0.25">
      <c r="A1584" s="1011">
        <v>24173213</v>
      </c>
      <c r="B1584" s="1011" t="s">
        <v>5313</v>
      </c>
      <c r="C1584" s="1011" t="s">
        <v>2171</v>
      </c>
      <c r="D1584" s="1011" t="s">
        <v>1694</v>
      </c>
      <c r="E1584" s="1011" t="s">
        <v>1593</v>
      </c>
      <c r="F1584" s="1011" t="s">
        <v>1695</v>
      </c>
    </row>
    <row r="1585" spans="1:6" x14ac:dyDescent="0.25">
      <c r="A1585" s="1011">
        <v>34124180</v>
      </c>
      <c r="B1585" s="1011" t="s">
        <v>5314</v>
      </c>
      <c r="C1585" s="1011" t="s">
        <v>5315</v>
      </c>
      <c r="D1585" s="1011" t="s">
        <v>2790</v>
      </c>
      <c r="E1585" s="1011" t="s">
        <v>1593</v>
      </c>
      <c r="F1585" s="1011" t="s">
        <v>1387</v>
      </c>
    </row>
    <row r="1586" spans="1:6" x14ac:dyDescent="0.25">
      <c r="A1586" s="1011">
        <v>24123747</v>
      </c>
      <c r="B1586" s="1011" t="s">
        <v>5316</v>
      </c>
      <c r="C1586" s="1011" t="s">
        <v>5317</v>
      </c>
      <c r="D1586" s="1011" t="s">
        <v>1127</v>
      </c>
      <c r="E1586" s="1011" t="s">
        <v>1593</v>
      </c>
      <c r="F1586" s="1011" t="s">
        <v>1375</v>
      </c>
    </row>
    <row r="1587" spans="1:6" x14ac:dyDescent="0.25">
      <c r="A1587" s="1011">
        <v>64124415</v>
      </c>
      <c r="B1587" s="1011" t="s">
        <v>5318</v>
      </c>
      <c r="C1587" s="1011" t="s">
        <v>1938</v>
      </c>
      <c r="D1587" s="1011" t="s">
        <v>1939</v>
      </c>
      <c r="E1587" s="1011" t="s">
        <v>1583</v>
      </c>
      <c r="F1587" s="1011" t="s">
        <v>1940</v>
      </c>
    </row>
    <row r="1588" spans="1:6" x14ac:dyDescent="0.25">
      <c r="A1588" s="1011">
        <v>4140398</v>
      </c>
      <c r="B1588" s="1011" t="s">
        <v>5319</v>
      </c>
      <c r="C1588" s="1011" t="s">
        <v>5320</v>
      </c>
      <c r="D1588" s="1011" t="s">
        <v>3517</v>
      </c>
      <c r="E1588" s="1011" t="s">
        <v>1588</v>
      </c>
      <c r="F1588" s="1011" t="s">
        <v>3518</v>
      </c>
    </row>
    <row r="1589" spans="1:6" x14ac:dyDescent="0.25">
      <c r="A1589" s="1011">
        <v>54169552</v>
      </c>
      <c r="B1589" s="1011" t="s">
        <v>5321</v>
      </c>
      <c r="C1589" s="1011" t="s">
        <v>5322</v>
      </c>
      <c r="D1589" s="1011" t="s">
        <v>1943</v>
      </c>
      <c r="E1589" s="1011" t="s">
        <v>1588</v>
      </c>
      <c r="F1589" s="1011" t="s">
        <v>1944</v>
      </c>
    </row>
    <row r="1590" spans="1:6" x14ac:dyDescent="0.25">
      <c r="A1590" s="1011">
        <v>74124975</v>
      </c>
      <c r="B1590" s="1011" t="s">
        <v>5323</v>
      </c>
      <c r="C1590" s="1011" t="s">
        <v>5324</v>
      </c>
      <c r="D1590" s="1011" t="s">
        <v>1602</v>
      </c>
      <c r="E1590" s="1011" t="s">
        <v>1583</v>
      </c>
      <c r="F1590" s="1011" t="s">
        <v>1457</v>
      </c>
    </row>
    <row r="1591" spans="1:6" x14ac:dyDescent="0.25">
      <c r="A1591" s="1011">
        <v>64133416</v>
      </c>
      <c r="B1591" s="1011" t="s">
        <v>5325</v>
      </c>
      <c r="C1591" s="1011" t="s">
        <v>5326</v>
      </c>
      <c r="D1591" s="1011" t="s">
        <v>1668</v>
      </c>
      <c r="E1591" s="1011" t="s">
        <v>1588</v>
      </c>
      <c r="F1591" s="1011" t="s">
        <v>1669</v>
      </c>
    </row>
    <row r="1592" spans="1:6" x14ac:dyDescent="0.25">
      <c r="A1592" s="1011">
        <v>94123551</v>
      </c>
      <c r="B1592" s="1011" t="s">
        <v>5327</v>
      </c>
      <c r="C1592" s="1011" t="s">
        <v>5328</v>
      </c>
      <c r="D1592" s="1011" t="s">
        <v>1127</v>
      </c>
      <c r="E1592" s="1011" t="s">
        <v>1593</v>
      </c>
      <c r="F1592" s="1011" t="s">
        <v>1341</v>
      </c>
    </row>
    <row r="1593" spans="1:6" x14ac:dyDescent="0.25">
      <c r="A1593" s="1011">
        <v>24125528</v>
      </c>
      <c r="B1593" s="1011" t="s">
        <v>5329</v>
      </c>
      <c r="C1593" s="1011" t="s">
        <v>5330</v>
      </c>
      <c r="D1593" s="1011" t="s">
        <v>1717</v>
      </c>
      <c r="E1593" s="1011" t="s">
        <v>1588</v>
      </c>
      <c r="F1593" s="1011" t="s">
        <v>1718</v>
      </c>
    </row>
    <row r="1594" spans="1:6" x14ac:dyDescent="0.25">
      <c r="A1594" s="1011">
        <v>64125776</v>
      </c>
      <c r="B1594" s="1011" t="s">
        <v>5331</v>
      </c>
      <c r="C1594" s="1011" t="s">
        <v>5332</v>
      </c>
      <c r="D1594" s="1011" t="s">
        <v>4499</v>
      </c>
      <c r="E1594" s="1011" t="s">
        <v>1588</v>
      </c>
      <c r="F1594" s="1011" t="s">
        <v>4500</v>
      </c>
    </row>
    <row r="1595" spans="1:6" x14ac:dyDescent="0.25">
      <c r="A1595" s="1011">
        <v>44123479</v>
      </c>
      <c r="B1595" s="1011" t="s">
        <v>5333</v>
      </c>
      <c r="C1595" s="1011" t="s">
        <v>5334</v>
      </c>
      <c r="D1595" s="1011" t="s">
        <v>1127</v>
      </c>
      <c r="E1595" s="1011" t="s">
        <v>1593</v>
      </c>
      <c r="F1595" s="1011" t="s">
        <v>1449</v>
      </c>
    </row>
    <row r="1596" spans="1:6" x14ac:dyDescent="0.25">
      <c r="A1596" s="1011">
        <v>74128232</v>
      </c>
      <c r="B1596" s="1011" t="s">
        <v>5335</v>
      </c>
      <c r="C1596" s="1011" t="s">
        <v>2353</v>
      </c>
      <c r="D1596" s="1011" t="s">
        <v>2844</v>
      </c>
      <c r="E1596" s="1011" t="s">
        <v>1583</v>
      </c>
      <c r="F1596" s="1011" t="s">
        <v>2845</v>
      </c>
    </row>
    <row r="1597" spans="1:6" x14ac:dyDescent="0.25">
      <c r="A1597" s="1011">
        <v>84124031</v>
      </c>
      <c r="B1597" s="1011" t="s">
        <v>5336</v>
      </c>
      <c r="C1597" s="1011" t="s">
        <v>5337</v>
      </c>
      <c r="D1597" s="1011" t="s">
        <v>65</v>
      </c>
      <c r="E1597" s="1011" t="s">
        <v>1583</v>
      </c>
      <c r="F1597" s="1011" t="s">
        <v>3417</v>
      </c>
    </row>
    <row r="1598" spans="1:6" x14ac:dyDescent="0.25">
      <c r="A1598" s="1011">
        <v>64126097</v>
      </c>
      <c r="B1598" s="1011" t="s">
        <v>5338</v>
      </c>
      <c r="C1598" s="1011" t="s">
        <v>5339</v>
      </c>
      <c r="D1598" s="1011" t="s">
        <v>1819</v>
      </c>
      <c r="E1598" s="1011" t="s">
        <v>1588</v>
      </c>
      <c r="F1598" s="1011" t="s">
        <v>1820</v>
      </c>
    </row>
    <row r="1599" spans="1:6" x14ac:dyDescent="0.25">
      <c r="A1599" s="1011">
        <v>74125675</v>
      </c>
      <c r="B1599" s="1011" t="s">
        <v>5340</v>
      </c>
      <c r="C1599" s="1011" t="s">
        <v>5341</v>
      </c>
      <c r="D1599" s="1011" t="s">
        <v>2316</v>
      </c>
      <c r="E1599" s="1011" t="s">
        <v>1588</v>
      </c>
      <c r="F1599" s="1011" t="s">
        <v>1441</v>
      </c>
    </row>
    <row r="1600" spans="1:6" x14ac:dyDescent="0.25">
      <c r="A1600" s="1011">
        <v>64125461</v>
      </c>
      <c r="B1600" s="1011" t="s">
        <v>5342</v>
      </c>
      <c r="C1600" s="1011" t="s">
        <v>5343</v>
      </c>
      <c r="D1600" s="1011" t="s">
        <v>1819</v>
      </c>
      <c r="E1600" s="1011" t="s">
        <v>1588</v>
      </c>
      <c r="F1600" s="1011" t="s">
        <v>1820</v>
      </c>
    </row>
    <row r="1601" spans="1:6" x14ac:dyDescent="0.25">
      <c r="A1601" s="1011">
        <v>34125815</v>
      </c>
      <c r="B1601" s="1011" t="s">
        <v>5344</v>
      </c>
      <c r="C1601" s="1011" t="s">
        <v>5345</v>
      </c>
      <c r="D1601" s="1011" t="s">
        <v>4510</v>
      </c>
      <c r="E1601" s="1011" t="s">
        <v>1588</v>
      </c>
      <c r="F1601" s="1011" t="s">
        <v>4511</v>
      </c>
    </row>
    <row r="1602" spans="1:6" x14ac:dyDescent="0.25">
      <c r="A1602" s="1011">
        <v>24123390</v>
      </c>
      <c r="B1602" s="1011" t="s">
        <v>5346</v>
      </c>
      <c r="C1602" s="1011" t="s">
        <v>1874</v>
      </c>
      <c r="D1602" s="1011" t="s">
        <v>1728</v>
      </c>
      <c r="E1602" s="1011" t="s">
        <v>1593</v>
      </c>
      <c r="F1602" s="1011" t="s">
        <v>1729</v>
      </c>
    </row>
    <row r="1603" spans="1:6" x14ac:dyDescent="0.25">
      <c r="A1603" s="1011">
        <v>64123524</v>
      </c>
      <c r="B1603" s="1011" t="s">
        <v>5347</v>
      </c>
      <c r="C1603" s="1011" t="s">
        <v>5348</v>
      </c>
      <c r="D1603" s="1011" t="s">
        <v>1127</v>
      </c>
      <c r="E1603" s="1011" t="s">
        <v>1593</v>
      </c>
      <c r="F1603" s="1011" t="s">
        <v>1445</v>
      </c>
    </row>
    <row r="1604" spans="1:6" x14ac:dyDescent="0.25">
      <c r="A1604" s="1011">
        <v>94158433</v>
      </c>
      <c r="B1604" s="1011" t="s">
        <v>2528</v>
      </c>
      <c r="C1604" s="1011" t="s">
        <v>2529</v>
      </c>
      <c r="D1604" s="1011" t="s">
        <v>2530</v>
      </c>
      <c r="E1604" s="1011" t="s">
        <v>1583</v>
      </c>
      <c r="F1604" s="1011" t="s">
        <v>1379</v>
      </c>
    </row>
    <row r="1605" spans="1:6" x14ac:dyDescent="0.25">
      <c r="A1605" s="1011">
        <v>24125395</v>
      </c>
      <c r="B1605" s="1011" t="s">
        <v>5349</v>
      </c>
      <c r="C1605" s="1011" t="s">
        <v>5350</v>
      </c>
      <c r="D1605" s="1011" t="s">
        <v>1792</v>
      </c>
      <c r="E1605" s="1011" t="s">
        <v>1588</v>
      </c>
      <c r="F1605" s="1011" t="s">
        <v>1793</v>
      </c>
    </row>
    <row r="1606" spans="1:6" x14ac:dyDescent="0.25">
      <c r="A1606" s="1011">
        <v>54124607</v>
      </c>
      <c r="B1606" s="1011" t="s">
        <v>5351</v>
      </c>
      <c r="C1606" s="1011" t="s">
        <v>5352</v>
      </c>
      <c r="D1606" s="1011" t="s">
        <v>1728</v>
      </c>
      <c r="E1606" s="1011" t="s">
        <v>1593</v>
      </c>
      <c r="F1606" s="1011" t="s">
        <v>1729</v>
      </c>
    </row>
    <row r="1607" spans="1:6" x14ac:dyDescent="0.25">
      <c r="A1607" s="1011">
        <v>64124126</v>
      </c>
      <c r="B1607" s="1011" t="s">
        <v>5353</v>
      </c>
      <c r="C1607" s="1011" t="s">
        <v>4470</v>
      </c>
      <c r="D1607" s="1011" t="s">
        <v>1641</v>
      </c>
      <c r="E1607" s="1011" t="s">
        <v>1583</v>
      </c>
      <c r="F1607" s="1011" t="s">
        <v>1463</v>
      </c>
    </row>
    <row r="1608" spans="1:6" x14ac:dyDescent="0.25">
      <c r="A1608" s="1011">
        <v>94123700</v>
      </c>
      <c r="B1608" s="1011" t="s">
        <v>5354</v>
      </c>
      <c r="C1608" s="1011" t="s">
        <v>5355</v>
      </c>
      <c r="D1608" s="1011" t="s">
        <v>1127</v>
      </c>
      <c r="E1608" s="1011" t="s">
        <v>1593</v>
      </c>
      <c r="F1608" s="1011" t="s">
        <v>1383</v>
      </c>
    </row>
    <row r="1609" spans="1:6" x14ac:dyDescent="0.25">
      <c r="A1609" s="1011">
        <v>44125995</v>
      </c>
      <c r="B1609" s="1011" t="s">
        <v>5356</v>
      </c>
      <c r="C1609" s="1011" t="s">
        <v>5357</v>
      </c>
      <c r="D1609" s="1011" t="s">
        <v>2074</v>
      </c>
      <c r="E1609" s="1011" t="s">
        <v>1593</v>
      </c>
      <c r="F1609" s="1011" t="s">
        <v>2075</v>
      </c>
    </row>
    <row r="1610" spans="1:6" x14ac:dyDescent="0.25">
      <c r="A1610" s="1011">
        <v>34124164</v>
      </c>
      <c r="B1610" s="1011" t="s">
        <v>5358</v>
      </c>
      <c r="C1610" s="1011" t="s">
        <v>5359</v>
      </c>
      <c r="D1610" s="1011" t="s">
        <v>3841</v>
      </c>
      <c r="E1610" s="1011" t="s">
        <v>1593</v>
      </c>
      <c r="F1610" s="1011" t="s">
        <v>3842</v>
      </c>
    </row>
    <row r="1611" spans="1:6" x14ac:dyDescent="0.25">
      <c r="A1611" s="1011">
        <v>54163134</v>
      </c>
      <c r="B1611" s="1011" t="s">
        <v>5360</v>
      </c>
      <c r="C1611" s="1011" t="s">
        <v>5361</v>
      </c>
      <c r="D1611" s="1011" t="s">
        <v>2883</v>
      </c>
      <c r="E1611" s="1011" t="s">
        <v>1588</v>
      </c>
      <c r="F1611" s="1011" t="s">
        <v>2884</v>
      </c>
    </row>
    <row r="1612" spans="1:6" x14ac:dyDescent="0.25">
      <c r="A1612" s="1011">
        <v>94123783</v>
      </c>
      <c r="B1612" s="1011" t="s">
        <v>5362</v>
      </c>
      <c r="C1612" s="1011" t="s">
        <v>5363</v>
      </c>
      <c r="D1612" s="1011" t="s">
        <v>1602</v>
      </c>
      <c r="E1612" s="1011" t="s">
        <v>1593</v>
      </c>
      <c r="F1612" s="1011" t="s">
        <v>1417</v>
      </c>
    </row>
    <row r="1613" spans="1:6" x14ac:dyDescent="0.25">
      <c r="A1613" s="1011">
        <v>84125335</v>
      </c>
      <c r="B1613" s="1011" t="s">
        <v>5364</v>
      </c>
      <c r="C1613" s="1011" t="s">
        <v>5365</v>
      </c>
      <c r="D1613" s="1011" t="s">
        <v>2295</v>
      </c>
      <c r="E1613" s="1011" t="s">
        <v>1612</v>
      </c>
      <c r="F1613" s="1011" t="s">
        <v>2296</v>
      </c>
    </row>
    <row r="1614" spans="1:6" x14ac:dyDescent="0.25">
      <c r="A1614" s="1011">
        <v>14123574</v>
      </c>
      <c r="B1614" s="1011" t="s">
        <v>5366</v>
      </c>
      <c r="C1614" s="1011" t="s">
        <v>5367</v>
      </c>
      <c r="D1614" s="1011" t="s">
        <v>1127</v>
      </c>
      <c r="E1614" s="1011" t="s">
        <v>1593</v>
      </c>
      <c r="F1614" s="1011" t="s">
        <v>1375</v>
      </c>
    </row>
    <row r="1615" spans="1:6" x14ac:dyDescent="0.25">
      <c r="A1615" s="1011">
        <v>74257924</v>
      </c>
      <c r="B1615" s="1011" t="s">
        <v>5368</v>
      </c>
      <c r="C1615" s="1011" t="s">
        <v>3981</v>
      </c>
      <c r="D1615" s="1011" t="s">
        <v>1599</v>
      </c>
      <c r="E1615" s="1011" t="s">
        <v>1593</v>
      </c>
      <c r="F1615" s="1011" t="s">
        <v>1377</v>
      </c>
    </row>
    <row r="1616" spans="1:6" x14ac:dyDescent="0.25">
      <c r="A1616" s="1011">
        <v>54170535</v>
      </c>
      <c r="B1616" s="1011" t="s">
        <v>5369</v>
      </c>
      <c r="C1616" s="1011" t="s">
        <v>5370</v>
      </c>
      <c r="D1616" s="1011" t="s">
        <v>1127</v>
      </c>
      <c r="E1616" s="1011" t="s">
        <v>1593</v>
      </c>
      <c r="F1616" s="1011" t="s">
        <v>1449</v>
      </c>
    </row>
    <row r="1617" spans="1:6" x14ac:dyDescent="0.25">
      <c r="A1617" s="1011">
        <v>64123656</v>
      </c>
      <c r="B1617" s="1011" t="s">
        <v>5371</v>
      </c>
      <c r="C1617" s="1011" t="s">
        <v>5372</v>
      </c>
      <c r="D1617" s="1011" t="s">
        <v>1767</v>
      </c>
      <c r="E1617" s="1011" t="s">
        <v>1593</v>
      </c>
      <c r="F1617" s="1011" t="s">
        <v>1419</v>
      </c>
    </row>
    <row r="1618" spans="1:6" x14ac:dyDescent="0.25">
      <c r="A1618" s="1011">
        <v>84163690</v>
      </c>
      <c r="B1618" s="1011" t="s">
        <v>5373</v>
      </c>
      <c r="C1618" s="1011" t="s">
        <v>5374</v>
      </c>
      <c r="D1618" s="1011" t="s">
        <v>2742</v>
      </c>
      <c r="E1618" s="1011" t="s">
        <v>1588</v>
      </c>
      <c r="F1618" s="1011" t="s">
        <v>2743</v>
      </c>
    </row>
    <row r="1619" spans="1:6" x14ac:dyDescent="0.25">
      <c r="A1619" s="1011">
        <v>34252700</v>
      </c>
      <c r="B1619" s="1011" t="s">
        <v>5375</v>
      </c>
      <c r="C1619" s="1011" t="s">
        <v>5376</v>
      </c>
      <c r="D1619" s="1011" t="s">
        <v>1125</v>
      </c>
      <c r="E1619" s="1011" t="s">
        <v>1588</v>
      </c>
      <c r="F1619" s="1011" t="s">
        <v>1770</v>
      </c>
    </row>
    <row r="1620" spans="1:6" x14ac:dyDescent="0.25">
      <c r="A1620" s="1011">
        <v>94123411</v>
      </c>
      <c r="B1620" s="1011" t="s">
        <v>5377</v>
      </c>
      <c r="C1620" s="1011" t="s">
        <v>5378</v>
      </c>
      <c r="D1620" s="1011" t="s">
        <v>5379</v>
      </c>
      <c r="E1620" s="1011" t="s">
        <v>1593</v>
      </c>
      <c r="F1620" s="1011" t="s">
        <v>1729</v>
      </c>
    </row>
    <row r="1621" spans="1:6" x14ac:dyDescent="0.25">
      <c r="A1621" s="1011">
        <v>64125719</v>
      </c>
      <c r="B1621" s="1011" t="s">
        <v>5380</v>
      </c>
      <c r="C1621" s="1011" t="s">
        <v>5381</v>
      </c>
      <c r="D1621" s="1011" t="s">
        <v>5382</v>
      </c>
      <c r="E1621" s="1011" t="s">
        <v>1588</v>
      </c>
      <c r="F1621" s="1011" t="s">
        <v>5383</v>
      </c>
    </row>
    <row r="1622" spans="1:6" x14ac:dyDescent="0.25">
      <c r="A1622" s="1011">
        <v>94124757</v>
      </c>
      <c r="B1622" s="1011" t="s">
        <v>5384</v>
      </c>
      <c r="C1622" s="1011" t="s">
        <v>5385</v>
      </c>
      <c r="D1622" s="1011" t="s">
        <v>2390</v>
      </c>
      <c r="E1622" s="1011" t="s">
        <v>1583</v>
      </c>
      <c r="F1622" s="1011" t="s">
        <v>2391</v>
      </c>
    </row>
    <row r="1623" spans="1:6" x14ac:dyDescent="0.25">
      <c r="A1623" s="1011">
        <v>64246242</v>
      </c>
      <c r="B1623" s="1011" t="s">
        <v>5386</v>
      </c>
      <c r="C1623" s="1011" t="s">
        <v>5387</v>
      </c>
      <c r="D1623" s="1011" t="s">
        <v>2295</v>
      </c>
      <c r="E1623" s="1011" t="s">
        <v>1612</v>
      </c>
      <c r="F1623" s="1011" t="s">
        <v>2296</v>
      </c>
    </row>
    <row r="1624" spans="1:6" x14ac:dyDescent="0.25">
      <c r="A1624" s="1011">
        <v>34123372</v>
      </c>
      <c r="B1624" s="1011" t="s">
        <v>5388</v>
      </c>
      <c r="C1624" s="1011" t="s">
        <v>5389</v>
      </c>
      <c r="D1624" s="1011" t="s">
        <v>5390</v>
      </c>
      <c r="E1624" s="1011" t="s">
        <v>1593</v>
      </c>
      <c r="F1624" s="1011" t="s">
        <v>5391</v>
      </c>
    </row>
    <row r="1625" spans="1:6" x14ac:dyDescent="0.25">
      <c r="A1625" s="1011">
        <v>24123986</v>
      </c>
      <c r="B1625" s="1011" t="s">
        <v>5392</v>
      </c>
      <c r="C1625" s="1011" t="s">
        <v>5393</v>
      </c>
      <c r="D1625" s="1011" t="s">
        <v>4724</v>
      </c>
      <c r="E1625" s="1011" t="s">
        <v>1593</v>
      </c>
      <c r="F1625" s="1011" t="s">
        <v>1409</v>
      </c>
    </row>
    <row r="1626" spans="1:6" x14ac:dyDescent="0.25">
      <c r="A1626" s="1011">
        <v>54125240</v>
      </c>
      <c r="B1626" s="1011" t="s">
        <v>5394</v>
      </c>
      <c r="C1626" s="1011" t="s">
        <v>5395</v>
      </c>
      <c r="D1626" s="1011" t="s">
        <v>72</v>
      </c>
      <c r="E1626" s="1011" t="s">
        <v>1612</v>
      </c>
      <c r="F1626" s="1011" t="s">
        <v>1714</v>
      </c>
    </row>
    <row r="1627" spans="1:6" x14ac:dyDescent="0.25">
      <c r="A1627" s="1011">
        <v>54246780</v>
      </c>
      <c r="B1627" s="1011" t="s">
        <v>5396</v>
      </c>
      <c r="C1627" s="1011" t="s">
        <v>5397</v>
      </c>
      <c r="D1627" s="1011" t="s">
        <v>1599</v>
      </c>
      <c r="E1627" s="1011" t="s">
        <v>1593</v>
      </c>
      <c r="F1627" s="1011" t="s">
        <v>1377</v>
      </c>
    </row>
    <row r="1628" spans="1:6" x14ac:dyDescent="0.25">
      <c r="A1628" s="1011">
        <v>14233126</v>
      </c>
      <c r="B1628" s="1011" t="s">
        <v>5398</v>
      </c>
      <c r="C1628" s="1011" t="s">
        <v>5399</v>
      </c>
      <c r="D1628" s="1011" t="s">
        <v>4048</v>
      </c>
      <c r="E1628" s="1011" t="s">
        <v>1593</v>
      </c>
      <c r="F1628" s="1011" t="s">
        <v>4049</v>
      </c>
    </row>
    <row r="1629" spans="1:6" x14ac:dyDescent="0.25">
      <c r="A1629" s="1011">
        <v>24124448</v>
      </c>
      <c r="B1629" s="1011" t="s">
        <v>5400</v>
      </c>
      <c r="C1629" s="1011" t="s">
        <v>5401</v>
      </c>
      <c r="D1629" s="1011" t="s">
        <v>2174</v>
      </c>
      <c r="E1629" s="1011" t="s">
        <v>1593</v>
      </c>
      <c r="F1629" s="1011" t="s">
        <v>2175</v>
      </c>
    </row>
    <row r="1630" spans="1:6" x14ac:dyDescent="0.25">
      <c r="A1630" s="1011">
        <v>64170632</v>
      </c>
      <c r="B1630" s="1011" t="s">
        <v>5402</v>
      </c>
      <c r="C1630" s="1011" t="s">
        <v>5403</v>
      </c>
      <c r="D1630" s="1011" t="s">
        <v>1694</v>
      </c>
      <c r="E1630" s="1011" t="s">
        <v>1593</v>
      </c>
      <c r="F1630" s="1011" t="s">
        <v>1695</v>
      </c>
    </row>
    <row r="1631" spans="1:6" x14ac:dyDescent="0.25">
      <c r="A1631" s="1011">
        <v>34124503</v>
      </c>
      <c r="B1631" s="1011" t="s">
        <v>5404</v>
      </c>
      <c r="C1631" s="1011" t="s">
        <v>5138</v>
      </c>
      <c r="D1631" s="1011" t="s">
        <v>1127</v>
      </c>
      <c r="E1631" s="1011" t="s">
        <v>1593</v>
      </c>
      <c r="F1631" s="1011" t="s">
        <v>1949</v>
      </c>
    </row>
    <row r="1632" spans="1:6" x14ac:dyDescent="0.25">
      <c r="A1632" s="1011">
        <v>54124581</v>
      </c>
      <c r="B1632" s="1011" t="s">
        <v>5405</v>
      </c>
      <c r="C1632" s="1011" t="s">
        <v>5406</v>
      </c>
      <c r="D1632" s="1011" t="s">
        <v>1694</v>
      </c>
      <c r="E1632" s="1011" t="s">
        <v>1593</v>
      </c>
      <c r="F1632" s="1011" t="s">
        <v>1695</v>
      </c>
    </row>
    <row r="1633" spans="1:6" x14ac:dyDescent="0.25">
      <c r="A1633" s="1011">
        <v>24125494</v>
      </c>
      <c r="B1633" s="1011" t="s">
        <v>5407</v>
      </c>
      <c r="C1633" s="1011" t="s">
        <v>5408</v>
      </c>
      <c r="D1633" s="1011" t="s">
        <v>5409</v>
      </c>
      <c r="E1633" s="1011" t="s">
        <v>1588</v>
      </c>
      <c r="F1633" s="1011" t="s">
        <v>5410</v>
      </c>
    </row>
    <row r="1634" spans="1:6" x14ac:dyDescent="0.25">
      <c r="A1634" s="1011">
        <v>44124618</v>
      </c>
      <c r="B1634" s="1011" t="s">
        <v>5411</v>
      </c>
      <c r="C1634" s="1011" t="s">
        <v>5412</v>
      </c>
      <c r="D1634" s="1011" t="s">
        <v>5413</v>
      </c>
      <c r="E1634" s="1011" t="s">
        <v>1593</v>
      </c>
      <c r="F1634" s="1011" t="s">
        <v>5414</v>
      </c>
    </row>
    <row r="1635" spans="1:6" x14ac:dyDescent="0.25">
      <c r="A1635" s="1011">
        <v>84123595</v>
      </c>
      <c r="B1635" s="1011" t="s">
        <v>5415</v>
      </c>
      <c r="C1635" s="1011" t="s">
        <v>5416</v>
      </c>
      <c r="D1635" s="1011" t="s">
        <v>5417</v>
      </c>
      <c r="E1635" s="1011" t="s">
        <v>5418</v>
      </c>
      <c r="F1635" s="1011" t="s">
        <v>5419</v>
      </c>
    </row>
    <row r="1636" spans="1:6" x14ac:dyDescent="0.25">
      <c r="A1636" s="1011">
        <v>4126090</v>
      </c>
      <c r="B1636" s="1011" t="s">
        <v>5420</v>
      </c>
      <c r="C1636" s="1011" t="s">
        <v>5421</v>
      </c>
      <c r="D1636" s="1011" t="s">
        <v>2232</v>
      </c>
      <c r="E1636" s="1011" t="s">
        <v>1612</v>
      </c>
      <c r="F1636" s="1011" t="s">
        <v>2233</v>
      </c>
    </row>
    <row r="1637" spans="1:6" x14ac:dyDescent="0.25">
      <c r="A1637" s="1011">
        <v>84124015</v>
      </c>
      <c r="B1637" s="1011" t="s">
        <v>5422</v>
      </c>
      <c r="C1637" s="1011" t="s">
        <v>5423</v>
      </c>
      <c r="D1637" s="1011" t="s">
        <v>1127</v>
      </c>
      <c r="E1637" s="1011" t="s">
        <v>1593</v>
      </c>
      <c r="F1637" s="1011" t="s">
        <v>1449</v>
      </c>
    </row>
    <row r="1638" spans="1:6" x14ac:dyDescent="0.25">
      <c r="A1638" s="1011">
        <v>74124173</v>
      </c>
      <c r="B1638" s="1011" t="s">
        <v>5424</v>
      </c>
      <c r="C1638" s="1011" t="s">
        <v>5425</v>
      </c>
      <c r="D1638" s="1011" t="s">
        <v>1641</v>
      </c>
      <c r="E1638" s="1011" t="s">
        <v>1583</v>
      </c>
      <c r="F1638" s="1011" t="s">
        <v>1463</v>
      </c>
    </row>
    <row r="1639" spans="1:6" x14ac:dyDescent="0.25">
      <c r="A1639" s="1011">
        <v>24124075</v>
      </c>
      <c r="B1639" s="1011" t="s">
        <v>5426</v>
      </c>
      <c r="C1639" s="1011" t="s">
        <v>5427</v>
      </c>
      <c r="D1639" s="1011" t="s">
        <v>1127</v>
      </c>
      <c r="E1639" s="1011" t="s">
        <v>1593</v>
      </c>
      <c r="F1639" s="1011" t="s">
        <v>1375</v>
      </c>
    </row>
    <row r="1640" spans="1:6" x14ac:dyDescent="0.25">
      <c r="A1640" s="1011">
        <v>94124450</v>
      </c>
      <c r="B1640" s="1011" t="s">
        <v>5428</v>
      </c>
      <c r="C1640" s="1011" t="s">
        <v>5429</v>
      </c>
      <c r="D1640" s="1011" t="s">
        <v>1756</v>
      </c>
      <c r="E1640" s="1011" t="s">
        <v>1593</v>
      </c>
      <c r="F1640" s="1011" t="s">
        <v>1429</v>
      </c>
    </row>
    <row r="1641" spans="1:6" x14ac:dyDescent="0.25">
      <c r="A1641" s="1011">
        <v>74123969</v>
      </c>
      <c r="B1641" s="1011" t="s">
        <v>5430</v>
      </c>
      <c r="C1641" s="1011" t="s">
        <v>5431</v>
      </c>
      <c r="D1641" s="1011" t="s">
        <v>2935</v>
      </c>
      <c r="E1641" s="1011" t="s">
        <v>1593</v>
      </c>
      <c r="F1641" s="1011" t="s">
        <v>2936</v>
      </c>
    </row>
    <row r="1642" spans="1:6" x14ac:dyDescent="0.25">
      <c r="A1642" s="1011">
        <v>94125606</v>
      </c>
      <c r="B1642" s="1011" t="s">
        <v>5432</v>
      </c>
      <c r="C1642" s="1011" t="s">
        <v>5433</v>
      </c>
      <c r="D1642" s="1011" t="s">
        <v>5434</v>
      </c>
      <c r="E1642" s="1011" t="s">
        <v>1588</v>
      </c>
      <c r="F1642" s="1011" t="s">
        <v>5435</v>
      </c>
    </row>
    <row r="1643" spans="1:6" x14ac:dyDescent="0.25">
      <c r="A1643" s="1011">
        <v>44124006</v>
      </c>
      <c r="B1643" s="1011" t="s">
        <v>5436</v>
      </c>
      <c r="C1643" s="1011" t="s">
        <v>5437</v>
      </c>
      <c r="D1643" s="1011" t="s">
        <v>4911</v>
      </c>
      <c r="E1643" s="1011" t="s">
        <v>1593</v>
      </c>
      <c r="F1643" s="1011" t="s">
        <v>4912</v>
      </c>
    </row>
    <row r="1644" spans="1:6" x14ac:dyDescent="0.25">
      <c r="A1644" s="1011">
        <v>14125587</v>
      </c>
      <c r="B1644" s="1011" t="s">
        <v>5438</v>
      </c>
      <c r="C1644" s="1011" t="s">
        <v>5439</v>
      </c>
      <c r="D1644" s="1011" t="s">
        <v>2698</v>
      </c>
      <c r="E1644" s="1011" t="s">
        <v>1612</v>
      </c>
      <c r="F1644" s="1011" t="s">
        <v>2699</v>
      </c>
    </row>
    <row r="1645" spans="1:6" x14ac:dyDescent="0.25">
      <c r="A1645" s="1011">
        <v>74123456</v>
      </c>
      <c r="B1645" s="1011" t="s">
        <v>5440</v>
      </c>
      <c r="C1645" s="1011" t="s">
        <v>5441</v>
      </c>
      <c r="D1645" s="1011" t="s">
        <v>1127</v>
      </c>
      <c r="E1645" s="1011" t="s">
        <v>1593</v>
      </c>
      <c r="F1645" s="1011" t="s">
        <v>1449</v>
      </c>
    </row>
    <row r="1646" spans="1:6" x14ac:dyDescent="0.25">
      <c r="A1646" s="1011">
        <v>14123640</v>
      </c>
      <c r="B1646" s="1011" t="s">
        <v>5442</v>
      </c>
      <c r="C1646" s="1011" t="s">
        <v>5443</v>
      </c>
      <c r="D1646" s="1011" t="s">
        <v>1812</v>
      </c>
      <c r="E1646" s="1011" t="s">
        <v>1593</v>
      </c>
      <c r="F1646" s="1011" t="s">
        <v>1385</v>
      </c>
    </row>
    <row r="1647" spans="1:6" x14ac:dyDescent="0.25">
      <c r="A1647" s="1011">
        <v>74125352</v>
      </c>
      <c r="B1647" s="1011" t="s">
        <v>5444</v>
      </c>
      <c r="C1647" s="1011" t="s">
        <v>5445</v>
      </c>
      <c r="D1647" s="1011" t="s">
        <v>2251</v>
      </c>
      <c r="E1647" s="1011" t="s">
        <v>1593</v>
      </c>
      <c r="F1647" s="1011" t="s">
        <v>2252</v>
      </c>
    </row>
    <row r="1648" spans="1:6" x14ac:dyDescent="0.25">
      <c r="A1648" s="1011">
        <v>44125094</v>
      </c>
      <c r="B1648" s="1011" t="s">
        <v>5446</v>
      </c>
      <c r="C1648" s="1011" t="s">
        <v>3996</v>
      </c>
      <c r="D1648" s="1011" t="s">
        <v>5447</v>
      </c>
      <c r="E1648" s="1011" t="s">
        <v>1583</v>
      </c>
      <c r="F1648" s="1011" t="s">
        <v>1889</v>
      </c>
    </row>
    <row r="1649" spans="1:6" x14ac:dyDescent="0.25">
      <c r="A1649" s="1011">
        <v>74124215</v>
      </c>
      <c r="B1649" s="1011" t="s">
        <v>5448</v>
      </c>
      <c r="C1649" s="1011" t="s">
        <v>5449</v>
      </c>
      <c r="D1649" s="1011" t="s">
        <v>1127</v>
      </c>
      <c r="E1649" s="1011" t="s">
        <v>1593</v>
      </c>
      <c r="F1649" s="1011" t="s">
        <v>1383</v>
      </c>
    </row>
    <row r="1650" spans="1:6" x14ac:dyDescent="0.25">
      <c r="A1650" s="1011">
        <v>24124232</v>
      </c>
      <c r="B1650" s="1011" t="s">
        <v>2641</v>
      </c>
      <c r="C1650" s="1011" t="s">
        <v>5450</v>
      </c>
      <c r="D1650" s="1011" t="s">
        <v>1756</v>
      </c>
      <c r="E1650" s="1011" t="s">
        <v>1593</v>
      </c>
      <c r="F1650" s="1011" t="s">
        <v>1429</v>
      </c>
    </row>
    <row r="1651" spans="1:6" x14ac:dyDescent="0.25">
      <c r="A1651" s="1011">
        <v>64220338</v>
      </c>
      <c r="B1651" s="1011" t="s">
        <v>5451</v>
      </c>
      <c r="C1651" s="1011" t="s">
        <v>2237</v>
      </c>
      <c r="D1651" s="1011" t="s">
        <v>2238</v>
      </c>
      <c r="E1651" s="1011" t="s">
        <v>1593</v>
      </c>
      <c r="F1651" s="1011" t="s">
        <v>2239</v>
      </c>
    </row>
    <row r="1652" spans="1:6" x14ac:dyDescent="0.25">
      <c r="A1652" s="1011">
        <v>4125969</v>
      </c>
      <c r="B1652" s="1011" t="s">
        <v>5452</v>
      </c>
      <c r="C1652" s="1011" t="s">
        <v>5453</v>
      </c>
      <c r="D1652" s="1011" t="s">
        <v>72</v>
      </c>
      <c r="E1652" s="1011" t="s">
        <v>1612</v>
      </c>
      <c r="F1652" s="1011" t="s">
        <v>3601</v>
      </c>
    </row>
    <row r="1653" spans="1:6" x14ac:dyDescent="0.25">
      <c r="A1653" s="1011">
        <v>24124174</v>
      </c>
      <c r="B1653" s="1011" t="s">
        <v>5454</v>
      </c>
      <c r="C1653" s="1011" t="s">
        <v>5455</v>
      </c>
      <c r="D1653" s="1011" t="s">
        <v>1702</v>
      </c>
      <c r="E1653" s="1011" t="s">
        <v>1593</v>
      </c>
      <c r="F1653" s="1011" t="s">
        <v>1703</v>
      </c>
    </row>
    <row r="1654" spans="1:6" x14ac:dyDescent="0.25">
      <c r="A1654" s="1011">
        <v>34163840</v>
      </c>
      <c r="B1654" s="1011" t="s">
        <v>5456</v>
      </c>
      <c r="C1654" s="1011" t="s">
        <v>5457</v>
      </c>
      <c r="D1654" s="1011" t="s">
        <v>1909</v>
      </c>
      <c r="E1654" s="1011" t="s">
        <v>1588</v>
      </c>
      <c r="F1654" s="1011" t="s">
        <v>1910</v>
      </c>
    </row>
    <row r="1655" spans="1:6" x14ac:dyDescent="0.25">
      <c r="A1655" s="1011">
        <v>14124168</v>
      </c>
      <c r="B1655" s="1011" t="s">
        <v>5458</v>
      </c>
      <c r="C1655" s="1011" t="s">
        <v>5459</v>
      </c>
      <c r="D1655" s="1011" t="s">
        <v>3249</v>
      </c>
      <c r="E1655" s="1011" t="s">
        <v>1593</v>
      </c>
      <c r="F1655" s="1011" t="s">
        <v>2408</v>
      </c>
    </row>
    <row r="1656" spans="1:6" x14ac:dyDescent="0.25">
      <c r="A1656" s="1011">
        <v>94123684</v>
      </c>
      <c r="B1656" s="1011" t="s">
        <v>5460</v>
      </c>
      <c r="C1656" s="1011" t="s">
        <v>5461</v>
      </c>
      <c r="D1656" s="1011" t="s">
        <v>1725</v>
      </c>
      <c r="E1656" s="1011" t="s">
        <v>1593</v>
      </c>
      <c r="F1656" s="1011" t="s">
        <v>1413</v>
      </c>
    </row>
    <row r="1657" spans="1:6" x14ac:dyDescent="0.25">
      <c r="A1657" s="1011">
        <v>24125635</v>
      </c>
      <c r="B1657" s="1011" t="s">
        <v>5462</v>
      </c>
      <c r="C1657" s="1011" t="s">
        <v>5463</v>
      </c>
      <c r="D1657" s="1011" t="s">
        <v>5464</v>
      </c>
      <c r="E1657" s="1011" t="s">
        <v>1588</v>
      </c>
      <c r="F1657" s="1011" t="s">
        <v>5465</v>
      </c>
    </row>
    <row r="1658" spans="1:6" x14ac:dyDescent="0.25">
      <c r="A1658" s="1011">
        <v>24125247</v>
      </c>
      <c r="B1658" s="1011" t="s">
        <v>5466</v>
      </c>
      <c r="C1658" s="1011" t="s">
        <v>5467</v>
      </c>
      <c r="D1658" s="1011" t="s">
        <v>1780</v>
      </c>
      <c r="E1658" s="1011" t="s">
        <v>1593</v>
      </c>
      <c r="F1658" s="1011" t="s">
        <v>1443</v>
      </c>
    </row>
    <row r="1659" spans="1:6" x14ac:dyDescent="0.25">
      <c r="A1659" s="1011">
        <v>34125500</v>
      </c>
      <c r="B1659" s="1011" t="s">
        <v>5468</v>
      </c>
      <c r="C1659" s="1011" t="s">
        <v>2077</v>
      </c>
      <c r="D1659" s="1011" t="s">
        <v>1644</v>
      </c>
      <c r="E1659" s="1011" t="s">
        <v>1588</v>
      </c>
      <c r="F1659" s="1011" t="s">
        <v>1645</v>
      </c>
    </row>
    <row r="1660" spans="1:6" x14ac:dyDescent="0.25">
      <c r="A1660" s="1011">
        <v>24234767</v>
      </c>
      <c r="B1660" s="1011" t="s">
        <v>5469</v>
      </c>
      <c r="C1660" s="1011" t="s">
        <v>5470</v>
      </c>
      <c r="D1660" s="1011" t="s">
        <v>1125</v>
      </c>
      <c r="E1660" s="1011" t="s">
        <v>1588</v>
      </c>
      <c r="F1660" s="1011" t="s">
        <v>1619</v>
      </c>
    </row>
    <row r="1661" spans="1:6" x14ac:dyDescent="0.25">
      <c r="A1661" s="1011">
        <v>84124452</v>
      </c>
      <c r="B1661" s="1011" t="s">
        <v>5471</v>
      </c>
      <c r="C1661" s="1011" t="s">
        <v>5472</v>
      </c>
      <c r="D1661" s="1011" t="s">
        <v>1605</v>
      </c>
      <c r="E1661" s="1011" t="s">
        <v>1593</v>
      </c>
      <c r="F1661" s="1011" t="s">
        <v>1606</v>
      </c>
    </row>
    <row r="1662" spans="1:6" x14ac:dyDescent="0.25">
      <c r="A1662" s="1011">
        <v>64124605</v>
      </c>
      <c r="B1662" s="1011" t="s">
        <v>5473</v>
      </c>
      <c r="C1662" s="1011" t="s">
        <v>5474</v>
      </c>
      <c r="D1662" s="1011" t="s">
        <v>5475</v>
      </c>
      <c r="E1662" s="1011" t="s">
        <v>1583</v>
      </c>
      <c r="F1662" s="1011" t="s">
        <v>5476</v>
      </c>
    </row>
    <row r="1663" spans="1:6" x14ac:dyDescent="0.25">
      <c r="A1663" s="1011">
        <v>4125498</v>
      </c>
      <c r="B1663" s="1011" t="s">
        <v>5477</v>
      </c>
      <c r="C1663" s="1011" t="s">
        <v>5478</v>
      </c>
      <c r="D1663" s="1011" t="s">
        <v>72</v>
      </c>
      <c r="E1663" s="1011" t="s">
        <v>1612</v>
      </c>
      <c r="F1663" s="1011" t="s">
        <v>2818</v>
      </c>
    </row>
    <row r="1664" spans="1:6" x14ac:dyDescent="0.25">
      <c r="A1664" s="1011">
        <v>24126088</v>
      </c>
      <c r="B1664" s="1011" t="s">
        <v>5479</v>
      </c>
      <c r="C1664" s="1011" t="s">
        <v>5480</v>
      </c>
      <c r="D1664" s="1011" t="s">
        <v>2662</v>
      </c>
      <c r="E1664" s="1011" t="s">
        <v>1588</v>
      </c>
      <c r="F1664" s="1011" t="s">
        <v>2663</v>
      </c>
    </row>
    <row r="1665" spans="1:6" x14ac:dyDescent="0.25">
      <c r="A1665" s="1011">
        <v>34126136</v>
      </c>
      <c r="B1665" s="1011" t="s">
        <v>5481</v>
      </c>
      <c r="C1665" s="1011" t="s">
        <v>5482</v>
      </c>
      <c r="D1665" s="1011" t="s">
        <v>2302</v>
      </c>
      <c r="E1665" s="1011" t="s">
        <v>1588</v>
      </c>
      <c r="F1665" s="1011" t="s">
        <v>1355</v>
      </c>
    </row>
    <row r="1666" spans="1:6" x14ac:dyDescent="0.25">
      <c r="A1666" s="1011">
        <v>54124235</v>
      </c>
      <c r="B1666" s="1011" t="s">
        <v>5483</v>
      </c>
      <c r="C1666" s="1011" t="s">
        <v>5484</v>
      </c>
      <c r="D1666" s="1011" t="s">
        <v>3120</v>
      </c>
      <c r="E1666" s="1011" t="s">
        <v>1593</v>
      </c>
      <c r="F1666" s="1011" t="s">
        <v>3121</v>
      </c>
    </row>
    <row r="1667" spans="1:6" x14ac:dyDescent="0.25">
      <c r="A1667" s="1011">
        <v>34124511</v>
      </c>
      <c r="B1667" s="1011" t="s">
        <v>5485</v>
      </c>
      <c r="C1667" s="1011" t="s">
        <v>5486</v>
      </c>
      <c r="D1667" s="1011" t="s">
        <v>1582</v>
      </c>
      <c r="E1667" s="1011" t="s">
        <v>1583</v>
      </c>
      <c r="F1667" s="1011" t="s">
        <v>1584</v>
      </c>
    </row>
    <row r="1668" spans="1:6" x14ac:dyDescent="0.25">
      <c r="A1668" s="1011">
        <v>84124635</v>
      </c>
      <c r="B1668" s="1011" t="s">
        <v>5487</v>
      </c>
      <c r="C1668" s="1011" t="s">
        <v>5488</v>
      </c>
      <c r="D1668" s="1011" t="s">
        <v>1127</v>
      </c>
      <c r="E1668" s="1011" t="s">
        <v>1593</v>
      </c>
      <c r="F1668" s="1011" t="s">
        <v>1383</v>
      </c>
    </row>
    <row r="1669" spans="1:6" x14ac:dyDescent="0.25">
      <c r="A1669" s="1011">
        <v>64124381</v>
      </c>
      <c r="B1669" s="1011" t="s">
        <v>5489</v>
      </c>
      <c r="C1669" s="1011" t="s">
        <v>5490</v>
      </c>
      <c r="D1669" s="1011" t="s">
        <v>2065</v>
      </c>
      <c r="E1669" s="1011" t="s">
        <v>1583</v>
      </c>
      <c r="F1669" s="1011" t="s">
        <v>2066</v>
      </c>
    </row>
    <row r="1670" spans="1:6" x14ac:dyDescent="0.25">
      <c r="A1670" s="1011">
        <v>34124818</v>
      </c>
      <c r="B1670" s="1011" t="s">
        <v>5491</v>
      </c>
      <c r="C1670" s="1011" t="s">
        <v>5492</v>
      </c>
      <c r="D1670" s="1011" t="s">
        <v>1959</v>
      </c>
      <c r="E1670" s="1011" t="s">
        <v>1583</v>
      </c>
      <c r="F1670" s="1011" t="s">
        <v>1960</v>
      </c>
    </row>
    <row r="1671" spans="1:6" x14ac:dyDescent="0.25">
      <c r="A1671" s="1011">
        <v>74125741</v>
      </c>
      <c r="B1671" s="1011" t="s">
        <v>5493</v>
      </c>
      <c r="C1671" s="1011" t="s">
        <v>5494</v>
      </c>
      <c r="D1671" s="1011" t="s">
        <v>5495</v>
      </c>
      <c r="E1671" s="1011" t="s">
        <v>1588</v>
      </c>
      <c r="F1671" s="1011" t="s">
        <v>5496</v>
      </c>
    </row>
    <row r="1672" spans="1:6" x14ac:dyDescent="0.25">
      <c r="A1672" s="1011">
        <v>24123416</v>
      </c>
      <c r="B1672" s="1011" t="s">
        <v>5497</v>
      </c>
      <c r="C1672" s="1011" t="s">
        <v>5498</v>
      </c>
      <c r="D1672" s="1011" t="s">
        <v>2053</v>
      </c>
      <c r="E1672" s="1011" t="s">
        <v>1593</v>
      </c>
      <c r="F1672" s="1011" t="s">
        <v>2054</v>
      </c>
    </row>
    <row r="1673" spans="1:6" x14ac:dyDescent="0.25">
      <c r="A1673" s="1011">
        <v>54124268</v>
      </c>
      <c r="B1673" s="1011" t="s">
        <v>5499</v>
      </c>
      <c r="C1673" s="1011" t="s">
        <v>5500</v>
      </c>
      <c r="D1673" s="1011" t="s">
        <v>4741</v>
      </c>
      <c r="E1673" s="1011" t="s">
        <v>1583</v>
      </c>
      <c r="F1673" s="1011" t="s">
        <v>4742</v>
      </c>
    </row>
    <row r="1674" spans="1:6" x14ac:dyDescent="0.25">
      <c r="A1674" s="1011">
        <v>64125826</v>
      </c>
      <c r="B1674" s="1011" t="s">
        <v>5501</v>
      </c>
      <c r="C1674" s="1011" t="s">
        <v>5502</v>
      </c>
      <c r="D1674" s="1011" t="s">
        <v>4190</v>
      </c>
      <c r="E1674" s="1011" t="s">
        <v>1588</v>
      </c>
      <c r="F1674" s="1011" t="s">
        <v>4191</v>
      </c>
    </row>
    <row r="1675" spans="1:6" x14ac:dyDescent="0.25">
      <c r="A1675" s="1011">
        <v>44123487</v>
      </c>
      <c r="B1675" s="1011" t="s">
        <v>5503</v>
      </c>
      <c r="C1675" s="1011" t="s">
        <v>5504</v>
      </c>
      <c r="D1675" s="1011" t="s">
        <v>1127</v>
      </c>
      <c r="E1675" s="1011" t="s">
        <v>1593</v>
      </c>
      <c r="F1675" s="1011" t="s">
        <v>1461</v>
      </c>
    </row>
    <row r="1676" spans="1:6" x14ac:dyDescent="0.25">
      <c r="A1676" s="1011">
        <v>74123563</v>
      </c>
      <c r="B1676" s="1011" t="s">
        <v>5505</v>
      </c>
      <c r="C1676" s="1011" t="s">
        <v>5506</v>
      </c>
      <c r="D1676" s="1011" t="s">
        <v>1127</v>
      </c>
      <c r="E1676" s="1011" t="s">
        <v>1593</v>
      </c>
      <c r="F1676" s="1011" t="s">
        <v>5507</v>
      </c>
    </row>
    <row r="1677" spans="1:6" x14ac:dyDescent="0.25">
      <c r="A1677" s="1011">
        <v>84125327</v>
      </c>
      <c r="B1677" s="1011" t="s">
        <v>5508</v>
      </c>
      <c r="C1677" s="1011" t="s">
        <v>5509</v>
      </c>
      <c r="D1677" s="1011" t="s">
        <v>1735</v>
      </c>
      <c r="E1677" s="1011" t="s">
        <v>1588</v>
      </c>
      <c r="F1677" s="1011" t="s">
        <v>1736</v>
      </c>
    </row>
    <row r="1678" spans="1:6" x14ac:dyDescent="0.25">
      <c r="A1678" s="1011">
        <v>54123906</v>
      </c>
      <c r="B1678" s="1011" t="s">
        <v>5510</v>
      </c>
      <c r="C1678" s="1011" t="s">
        <v>5511</v>
      </c>
      <c r="D1678" s="1011" t="s">
        <v>1728</v>
      </c>
      <c r="E1678" s="1011" t="s">
        <v>1593</v>
      </c>
      <c r="F1678" s="1011" t="s">
        <v>1729</v>
      </c>
    </row>
    <row r="1679" spans="1:6" x14ac:dyDescent="0.25">
      <c r="A1679" s="1011">
        <v>54124219</v>
      </c>
      <c r="B1679" s="1011" t="s">
        <v>5512</v>
      </c>
      <c r="C1679" s="1011" t="s">
        <v>5513</v>
      </c>
      <c r="D1679" s="1011" t="s">
        <v>1857</v>
      </c>
      <c r="E1679" s="1011" t="s">
        <v>1593</v>
      </c>
      <c r="F1679" s="1011" t="s">
        <v>1858</v>
      </c>
    </row>
    <row r="1680" spans="1:6" x14ac:dyDescent="0.25">
      <c r="A1680" s="1011">
        <v>94228624</v>
      </c>
      <c r="B1680" s="1011" t="s">
        <v>5514</v>
      </c>
      <c r="C1680" s="1011" t="s">
        <v>5515</v>
      </c>
      <c r="D1680" s="1011" t="s">
        <v>1756</v>
      </c>
      <c r="E1680" s="1011" t="s">
        <v>1593</v>
      </c>
      <c r="F1680" s="1011" t="s">
        <v>1429</v>
      </c>
    </row>
    <row r="1681" spans="1:6" x14ac:dyDescent="0.25">
      <c r="A1681" s="1011">
        <v>14124614</v>
      </c>
      <c r="B1681" s="1011" t="s">
        <v>5516</v>
      </c>
      <c r="C1681" s="1011" t="s">
        <v>5517</v>
      </c>
      <c r="D1681" s="1011" t="s">
        <v>4222</v>
      </c>
      <c r="E1681" s="1011" t="s">
        <v>1583</v>
      </c>
      <c r="F1681" s="1011" t="s">
        <v>4223</v>
      </c>
    </row>
    <row r="1682" spans="1:6" x14ac:dyDescent="0.25">
      <c r="A1682" s="1011">
        <v>14124424</v>
      </c>
      <c r="B1682" s="1011" t="s">
        <v>5518</v>
      </c>
      <c r="C1682" s="1011" t="s">
        <v>5519</v>
      </c>
      <c r="D1682" s="1011" t="s">
        <v>3120</v>
      </c>
      <c r="E1682" s="1011" t="s">
        <v>1593</v>
      </c>
      <c r="F1682" s="1011" t="s">
        <v>3121</v>
      </c>
    </row>
    <row r="1683" spans="1:6" x14ac:dyDescent="0.25">
      <c r="A1683" s="1011">
        <v>34124594</v>
      </c>
      <c r="B1683" s="1011" t="s">
        <v>5520</v>
      </c>
      <c r="C1683" s="1011" t="s">
        <v>4652</v>
      </c>
      <c r="D1683" s="1011" t="s">
        <v>4653</v>
      </c>
      <c r="E1683" s="1011" t="s">
        <v>1593</v>
      </c>
      <c r="F1683" s="1011" t="s">
        <v>4654</v>
      </c>
    </row>
    <row r="1684" spans="1:6" x14ac:dyDescent="0.25">
      <c r="A1684" s="1011">
        <v>14125942</v>
      </c>
      <c r="B1684" s="1011" t="s">
        <v>5521</v>
      </c>
      <c r="C1684" s="1011" t="s">
        <v>5522</v>
      </c>
      <c r="D1684" s="1011" t="s">
        <v>1596</v>
      </c>
      <c r="E1684" s="1011" t="s">
        <v>1593</v>
      </c>
      <c r="F1684" s="1011" t="s">
        <v>1351</v>
      </c>
    </row>
    <row r="1685" spans="1:6" x14ac:dyDescent="0.25">
      <c r="A1685" s="1011">
        <v>44123941</v>
      </c>
      <c r="B1685" s="1011" t="s">
        <v>5523</v>
      </c>
      <c r="C1685" s="1011" t="s">
        <v>5524</v>
      </c>
      <c r="D1685" s="1011" t="s">
        <v>3509</v>
      </c>
      <c r="E1685" s="1011" t="s">
        <v>1583</v>
      </c>
      <c r="F1685" s="1011" t="s">
        <v>3510</v>
      </c>
    </row>
    <row r="1686" spans="1:6" x14ac:dyDescent="0.25">
      <c r="A1686" s="1011">
        <v>64242605</v>
      </c>
      <c r="B1686" s="1011" t="s">
        <v>5525</v>
      </c>
      <c r="C1686" s="1011" t="s">
        <v>2241</v>
      </c>
      <c r="D1686" s="1011" t="s">
        <v>2242</v>
      </c>
      <c r="E1686" s="1011" t="s">
        <v>1583</v>
      </c>
      <c r="F1686" s="1011" t="s">
        <v>2243</v>
      </c>
    </row>
    <row r="1687" spans="1:6" x14ac:dyDescent="0.25">
      <c r="A1687" s="1011">
        <v>34152181</v>
      </c>
      <c r="B1687" s="1011" t="s">
        <v>5526</v>
      </c>
      <c r="C1687" s="1011" t="s">
        <v>5527</v>
      </c>
      <c r="D1687" s="1011" t="s">
        <v>2041</v>
      </c>
      <c r="E1687" s="1011" t="s">
        <v>1588</v>
      </c>
      <c r="F1687" s="1011" t="s">
        <v>2042</v>
      </c>
    </row>
    <row r="1688" spans="1:6" x14ac:dyDescent="0.25">
      <c r="A1688" s="1011">
        <v>44125615</v>
      </c>
      <c r="B1688" s="1011" t="s">
        <v>5528</v>
      </c>
      <c r="C1688" s="1011" t="s">
        <v>5529</v>
      </c>
      <c r="D1688" s="1011" t="s">
        <v>1125</v>
      </c>
      <c r="E1688" s="1011" t="s">
        <v>1588</v>
      </c>
      <c r="F1688" s="1011" t="s">
        <v>1619</v>
      </c>
    </row>
    <row r="1689" spans="1:6" x14ac:dyDescent="0.25">
      <c r="A1689" s="1011">
        <v>74125303</v>
      </c>
      <c r="B1689" s="1011" t="s">
        <v>5530</v>
      </c>
      <c r="C1689" s="1011" t="s">
        <v>5300</v>
      </c>
      <c r="D1689" s="1011" t="s">
        <v>1624</v>
      </c>
      <c r="E1689" s="1011" t="s">
        <v>1612</v>
      </c>
      <c r="F1689" s="1011" t="s">
        <v>1625</v>
      </c>
    </row>
    <row r="1690" spans="1:6" x14ac:dyDescent="0.25">
      <c r="A1690" s="1011">
        <v>74256223</v>
      </c>
      <c r="B1690" s="1011" t="s">
        <v>5531</v>
      </c>
      <c r="C1690" s="1011" t="s">
        <v>5532</v>
      </c>
      <c r="D1690" s="1011" t="s">
        <v>47</v>
      </c>
      <c r="E1690" s="1011" t="s">
        <v>1593</v>
      </c>
      <c r="F1690" s="1011" t="s">
        <v>3058</v>
      </c>
    </row>
    <row r="1691" spans="1:6" x14ac:dyDescent="0.25">
      <c r="A1691" s="1011">
        <v>94125911</v>
      </c>
      <c r="B1691" s="1011" t="s">
        <v>5533</v>
      </c>
      <c r="C1691" s="1011" t="s">
        <v>5534</v>
      </c>
      <c r="D1691" s="1011" t="s">
        <v>2295</v>
      </c>
      <c r="E1691" s="1011" t="s">
        <v>1612</v>
      </c>
      <c r="F1691" s="1011" t="s">
        <v>2296</v>
      </c>
    </row>
    <row r="1692" spans="1:6" x14ac:dyDescent="0.25">
      <c r="A1692" s="1011">
        <v>44234763</v>
      </c>
      <c r="B1692" s="1011" t="s">
        <v>5535</v>
      </c>
      <c r="C1692" s="1011" t="s">
        <v>2436</v>
      </c>
      <c r="D1692" s="1011" t="s">
        <v>1125</v>
      </c>
      <c r="E1692" s="1011" t="s">
        <v>1588</v>
      </c>
      <c r="F1692" s="1011" t="s">
        <v>1770</v>
      </c>
    </row>
    <row r="1693" spans="1:6" x14ac:dyDescent="0.25">
      <c r="A1693" s="1011">
        <v>34224899</v>
      </c>
      <c r="B1693" s="1011" t="s">
        <v>5536</v>
      </c>
      <c r="C1693" s="1011" t="s">
        <v>2532</v>
      </c>
      <c r="D1693" s="1011" t="s">
        <v>1127</v>
      </c>
      <c r="E1693" s="1011" t="s">
        <v>1593</v>
      </c>
      <c r="F1693" s="1011" t="s">
        <v>1383</v>
      </c>
    </row>
    <row r="1694" spans="1:6" x14ac:dyDescent="0.25">
      <c r="A1694" s="1011">
        <v>74177155</v>
      </c>
      <c r="B1694" s="1011" t="s">
        <v>5537</v>
      </c>
      <c r="C1694" s="1011" t="s">
        <v>2798</v>
      </c>
      <c r="D1694" s="1011" t="s">
        <v>1127</v>
      </c>
      <c r="E1694" s="1011" t="s">
        <v>1593</v>
      </c>
      <c r="F1694" s="1011" t="s">
        <v>1445</v>
      </c>
    </row>
    <row r="1695" spans="1:6" x14ac:dyDescent="0.25">
      <c r="A1695" s="1011">
        <v>4163812</v>
      </c>
      <c r="B1695" s="1011" t="s">
        <v>5538</v>
      </c>
      <c r="C1695" s="1011" t="s">
        <v>5539</v>
      </c>
      <c r="D1695" s="1011" t="s">
        <v>72</v>
      </c>
      <c r="E1695" s="1011" t="s">
        <v>1612</v>
      </c>
      <c r="F1695" s="1011" t="s">
        <v>1739</v>
      </c>
    </row>
    <row r="1696" spans="1:6" x14ac:dyDescent="0.25">
      <c r="A1696" s="1011">
        <v>44123875</v>
      </c>
      <c r="B1696" s="1011" t="s">
        <v>5540</v>
      </c>
      <c r="C1696" s="1011" t="s">
        <v>5541</v>
      </c>
      <c r="D1696" s="1011" t="s">
        <v>1602</v>
      </c>
      <c r="E1696" s="1011" t="s">
        <v>1593</v>
      </c>
      <c r="F1696" s="1011" t="s">
        <v>1417</v>
      </c>
    </row>
    <row r="1697" spans="1:6" x14ac:dyDescent="0.25">
      <c r="A1697" s="1011">
        <v>4124020</v>
      </c>
      <c r="B1697" s="1011" t="s">
        <v>5542</v>
      </c>
      <c r="C1697" s="1011" t="s">
        <v>5543</v>
      </c>
      <c r="D1697" s="1011" t="s">
        <v>2465</v>
      </c>
      <c r="E1697" s="1011" t="s">
        <v>1593</v>
      </c>
      <c r="F1697" s="1011" t="s">
        <v>2466</v>
      </c>
    </row>
    <row r="1698" spans="1:6" x14ac:dyDescent="0.25">
      <c r="A1698" s="1011">
        <v>94163839</v>
      </c>
      <c r="B1698" s="1011" t="s">
        <v>5544</v>
      </c>
      <c r="C1698" s="1011" t="s">
        <v>5545</v>
      </c>
      <c r="D1698" s="1011" t="s">
        <v>1909</v>
      </c>
      <c r="E1698" s="1011" t="s">
        <v>1588</v>
      </c>
      <c r="F1698" s="1011" t="s">
        <v>1910</v>
      </c>
    </row>
    <row r="1699" spans="1:6" x14ac:dyDescent="0.25">
      <c r="A1699" s="1011">
        <v>24125775</v>
      </c>
      <c r="B1699" s="1011" t="s">
        <v>5546</v>
      </c>
      <c r="C1699" s="1011" t="s">
        <v>5547</v>
      </c>
      <c r="D1699" s="1011" t="s">
        <v>1841</v>
      </c>
      <c r="E1699" s="1011" t="s">
        <v>1588</v>
      </c>
      <c r="F1699" s="1011" t="s">
        <v>1842</v>
      </c>
    </row>
    <row r="1700" spans="1:6" x14ac:dyDescent="0.25">
      <c r="A1700" s="1011">
        <v>24125619</v>
      </c>
      <c r="B1700" s="1011" t="s">
        <v>5548</v>
      </c>
      <c r="C1700" s="1011" t="s">
        <v>5549</v>
      </c>
      <c r="D1700" s="1011" t="s">
        <v>5550</v>
      </c>
      <c r="E1700" s="1011" t="s">
        <v>1588</v>
      </c>
      <c r="F1700" s="1011" t="s">
        <v>5551</v>
      </c>
    </row>
    <row r="1701" spans="1:6" x14ac:dyDescent="0.25">
      <c r="A1701" s="1011">
        <v>14145635</v>
      </c>
      <c r="B1701" s="1011" t="s">
        <v>5552</v>
      </c>
      <c r="C1701" s="1011" t="s">
        <v>5553</v>
      </c>
      <c r="D1701" s="1011" t="s">
        <v>1943</v>
      </c>
      <c r="E1701" s="1011" t="s">
        <v>1588</v>
      </c>
      <c r="F1701" s="1011" t="s">
        <v>1944</v>
      </c>
    </row>
    <row r="1702" spans="1:6" x14ac:dyDescent="0.25">
      <c r="A1702" s="1011">
        <v>14140404</v>
      </c>
      <c r="B1702" s="1011" t="s">
        <v>5554</v>
      </c>
      <c r="C1702" s="1011" t="s">
        <v>5555</v>
      </c>
      <c r="D1702" s="1011" t="s">
        <v>1668</v>
      </c>
      <c r="E1702" s="1011" t="s">
        <v>1588</v>
      </c>
      <c r="F1702" s="1011" t="s">
        <v>1783</v>
      </c>
    </row>
    <row r="1703" spans="1:6" x14ac:dyDescent="0.25">
      <c r="A1703" s="1011">
        <v>84125731</v>
      </c>
      <c r="B1703" s="1011" t="s">
        <v>5556</v>
      </c>
      <c r="C1703" s="1011" t="s">
        <v>5557</v>
      </c>
      <c r="D1703" s="1011" t="s">
        <v>2897</v>
      </c>
      <c r="E1703" s="1011" t="s">
        <v>1612</v>
      </c>
      <c r="F1703" s="1011" t="s">
        <v>2898</v>
      </c>
    </row>
    <row r="1704" spans="1:6" x14ac:dyDescent="0.25">
      <c r="A1704" s="1011">
        <v>94163102</v>
      </c>
      <c r="B1704" s="1011" t="s">
        <v>5558</v>
      </c>
      <c r="C1704" s="1011" t="s">
        <v>5559</v>
      </c>
      <c r="D1704" s="1011" t="s">
        <v>1125</v>
      </c>
      <c r="E1704" s="1011" t="s">
        <v>1588</v>
      </c>
      <c r="F1704" s="1011" t="s">
        <v>1619</v>
      </c>
    </row>
    <row r="1705" spans="1:6" x14ac:dyDescent="0.25">
      <c r="A1705" s="1011">
        <v>4228540</v>
      </c>
      <c r="B1705" s="1011" t="s">
        <v>5560</v>
      </c>
      <c r="C1705" s="1011" t="s">
        <v>5561</v>
      </c>
      <c r="D1705" s="1011" t="s">
        <v>1679</v>
      </c>
      <c r="E1705" s="1011" t="s">
        <v>1588</v>
      </c>
      <c r="F1705" s="1011" t="s">
        <v>1427</v>
      </c>
    </row>
    <row r="1706" spans="1:6" x14ac:dyDescent="0.25">
      <c r="A1706" s="1011">
        <v>24137127</v>
      </c>
      <c r="B1706" s="1011" t="s">
        <v>5562</v>
      </c>
      <c r="C1706" s="1011" t="s">
        <v>5563</v>
      </c>
      <c r="D1706" s="1011" t="s">
        <v>1717</v>
      </c>
      <c r="E1706" s="1011" t="s">
        <v>1588</v>
      </c>
      <c r="F1706" s="1011" t="s">
        <v>1718</v>
      </c>
    </row>
    <row r="1707" spans="1:6" x14ac:dyDescent="0.25">
      <c r="A1707" s="1011">
        <v>24125536</v>
      </c>
      <c r="B1707" s="1011" t="s">
        <v>5564</v>
      </c>
      <c r="C1707" s="1011" t="s">
        <v>5565</v>
      </c>
      <c r="D1707" s="1011" t="s">
        <v>1895</v>
      </c>
      <c r="E1707" s="1011" t="s">
        <v>1588</v>
      </c>
      <c r="F1707" s="1011" t="s">
        <v>1896</v>
      </c>
    </row>
    <row r="1708" spans="1:6" x14ac:dyDescent="0.25">
      <c r="A1708" s="1011">
        <v>24124794</v>
      </c>
      <c r="B1708" s="1011" t="s">
        <v>5566</v>
      </c>
      <c r="C1708" s="1011" t="s">
        <v>5567</v>
      </c>
      <c r="D1708" s="1011" t="s">
        <v>1892</v>
      </c>
      <c r="E1708" s="1011" t="s">
        <v>1583</v>
      </c>
      <c r="F1708" s="1011" t="s">
        <v>1371</v>
      </c>
    </row>
    <row r="1709" spans="1:6" x14ac:dyDescent="0.25">
      <c r="A1709" s="1011">
        <v>94125689</v>
      </c>
      <c r="B1709" s="1011" t="s">
        <v>5568</v>
      </c>
      <c r="C1709" s="1011" t="s">
        <v>5569</v>
      </c>
      <c r="D1709" s="1011" t="s">
        <v>5570</v>
      </c>
      <c r="E1709" s="1011" t="s">
        <v>1588</v>
      </c>
      <c r="F1709" s="1011" t="s">
        <v>5571</v>
      </c>
    </row>
    <row r="1710" spans="1:6" x14ac:dyDescent="0.25">
      <c r="A1710" s="1011">
        <v>44139194</v>
      </c>
      <c r="B1710" s="1011" t="s">
        <v>5572</v>
      </c>
      <c r="C1710" s="1011" t="s">
        <v>5573</v>
      </c>
      <c r="D1710" s="1011" t="s">
        <v>5288</v>
      </c>
      <c r="E1710" s="1011" t="s">
        <v>1583</v>
      </c>
      <c r="F1710" s="1011" t="s">
        <v>5289</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11"/>
  <sheetViews>
    <sheetView workbookViewId="0"/>
  </sheetViews>
  <sheetFormatPr defaultRowHeight="15" x14ac:dyDescent="0.25"/>
  <cols>
    <col min="1" max="1" width="10.5703125" style="1011" bestFit="1" customWidth="1"/>
    <col min="2" max="2" width="42.85546875" style="1011" bestFit="1" customWidth="1"/>
    <col min="3" max="3" width="15.140625" style="1011" bestFit="1" customWidth="1"/>
    <col min="4" max="4" width="8.85546875" style="1011" bestFit="1" customWidth="1"/>
    <col min="5" max="5" width="29.140625" style="1011" bestFit="1" customWidth="1"/>
    <col min="6" max="6" width="18.85546875" style="1011" bestFit="1" customWidth="1"/>
    <col min="7" max="7" width="18" style="1011" bestFit="1" customWidth="1"/>
    <col min="8" max="8" width="31" style="1011" bestFit="1" customWidth="1"/>
    <col min="9" max="9" width="32.5703125" style="1011" bestFit="1" customWidth="1"/>
    <col min="10" max="10" width="27.140625" style="1011" bestFit="1" customWidth="1"/>
    <col min="11" max="11" width="29.7109375" style="1011" bestFit="1" customWidth="1"/>
    <col min="12" max="12" width="20.140625" style="1011" bestFit="1" customWidth="1"/>
    <col min="13" max="13" width="20.5703125" style="1011" bestFit="1" customWidth="1"/>
    <col min="14" max="15" width="22.140625" style="1011" bestFit="1" customWidth="1"/>
    <col min="16" max="16384" width="9.140625" style="1011"/>
  </cols>
  <sheetData>
    <row r="1" spans="1:15" x14ac:dyDescent="0.25">
      <c r="A1" s="801" t="s">
        <v>1112</v>
      </c>
      <c r="B1" s="801" t="s">
        <v>251</v>
      </c>
      <c r="C1" s="801" t="s">
        <v>1164</v>
      </c>
      <c r="D1" s="801" t="s">
        <v>1113</v>
      </c>
      <c r="E1" s="801" t="s">
        <v>1114</v>
      </c>
      <c r="F1" s="801" t="s">
        <v>1115</v>
      </c>
      <c r="G1" s="801" t="s">
        <v>1116</v>
      </c>
      <c r="H1" s="801" t="s">
        <v>1165</v>
      </c>
      <c r="I1" s="801" t="s">
        <v>1166</v>
      </c>
      <c r="J1" s="801" t="s">
        <v>1167</v>
      </c>
      <c r="K1" s="801" t="s">
        <v>1168</v>
      </c>
      <c r="L1" s="801" t="s">
        <v>1169</v>
      </c>
      <c r="M1" s="801" t="s">
        <v>1170</v>
      </c>
      <c r="N1" s="801" t="s">
        <v>1171</v>
      </c>
      <c r="O1" s="801" t="s">
        <v>1171</v>
      </c>
    </row>
    <row r="2" spans="1:15" x14ac:dyDescent="0.25">
      <c r="A2" s="1011" t="s">
        <v>1126</v>
      </c>
      <c r="B2" s="1011" t="s">
        <v>1325</v>
      </c>
      <c r="C2" s="1011" t="s">
        <v>1127</v>
      </c>
      <c r="D2" s="1011">
        <v>2355</v>
      </c>
      <c r="E2" s="1011" t="s">
        <v>115</v>
      </c>
      <c r="F2" s="1011" t="s">
        <v>249</v>
      </c>
      <c r="G2" s="1011" t="s">
        <v>1326</v>
      </c>
      <c r="H2" s="1011">
        <v>34.497653044000003</v>
      </c>
      <c r="I2" s="1011">
        <v>-9.4684365079999997E-15</v>
      </c>
      <c r="J2" s="1011">
        <v>20</v>
      </c>
      <c r="K2" s="1011">
        <v>1804.37</v>
      </c>
      <c r="L2" s="1011">
        <v>1.724882652</v>
      </c>
      <c r="M2" s="1011">
        <v>1.9118946250000001E-2</v>
      </c>
      <c r="N2" s="1011">
        <v>-4.7342182539999998E-16</v>
      </c>
      <c r="O2" s="1011">
        <v>-5.2475027340000002E-18</v>
      </c>
    </row>
    <row r="3" spans="1:15" x14ac:dyDescent="0.25">
      <c r="A3" s="1011" t="s">
        <v>1126</v>
      </c>
      <c r="B3" s="1011" t="s">
        <v>1327</v>
      </c>
      <c r="C3" s="1011" t="s">
        <v>1127</v>
      </c>
      <c r="D3" s="1011">
        <v>2355</v>
      </c>
      <c r="E3" s="1011" t="s">
        <v>115</v>
      </c>
      <c r="F3" s="1011" t="s">
        <v>135</v>
      </c>
      <c r="G3" s="1011" t="s">
        <v>249</v>
      </c>
      <c r="H3" s="1011">
        <v>135.78664501899999</v>
      </c>
      <c r="I3" s="1011">
        <v>17.514562039000001</v>
      </c>
      <c r="J3" s="1011">
        <v>11.25</v>
      </c>
      <c r="K3" s="1011">
        <v>579.21</v>
      </c>
      <c r="L3" s="1011">
        <v>12.069924002</v>
      </c>
      <c r="M3" s="1011">
        <v>0.23443422080000001</v>
      </c>
      <c r="N3" s="1011">
        <v>1.556849959</v>
      </c>
      <c r="O3" s="1011">
        <v>3.023870796E-2</v>
      </c>
    </row>
    <row r="4" spans="1:15" x14ac:dyDescent="0.25">
      <c r="A4" s="1011" t="s">
        <v>1126</v>
      </c>
      <c r="B4" s="1011" t="s">
        <v>1328</v>
      </c>
      <c r="C4" s="1011" t="s">
        <v>1127</v>
      </c>
      <c r="D4" s="1011">
        <v>2355</v>
      </c>
      <c r="E4" s="1011" t="s">
        <v>114</v>
      </c>
      <c r="F4" s="1011" t="s">
        <v>135</v>
      </c>
      <c r="G4" s="1011" t="s">
        <v>249</v>
      </c>
      <c r="H4" s="1011">
        <v>15625.916397327999</v>
      </c>
      <c r="I4" s="1011">
        <v>2018.663499993</v>
      </c>
      <c r="J4" s="1011">
        <v>1296.6333</v>
      </c>
      <c r="K4" s="1011">
        <v>41587.99</v>
      </c>
      <c r="L4" s="1011">
        <v>12.051145375999999</v>
      </c>
      <c r="M4" s="1011">
        <v>0.37573146470000002</v>
      </c>
      <c r="N4" s="1011">
        <v>1.556849959</v>
      </c>
      <c r="O4" s="1011">
        <v>4.8539578370000003E-2</v>
      </c>
    </row>
    <row r="5" spans="1:15" x14ac:dyDescent="0.25">
      <c r="A5" s="1011" t="s">
        <v>1126</v>
      </c>
      <c r="B5" s="1011" t="s">
        <v>1329</v>
      </c>
      <c r="C5" s="1011" t="s">
        <v>1127</v>
      </c>
      <c r="D5" s="1011">
        <v>2355</v>
      </c>
      <c r="E5" s="1011" t="s">
        <v>112</v>
      </c>
      <c r="F5" s="1011" t="s">
        <v>135</v>
      </c>
      <c r="G5" s="1011" t="s">
        <v>249</v>
      </c>
      <c r="H5" s="1011">
        <v>3497.4460901120001</v>
      </c>
      <c r="I5" s="1011">
        <v>451.35680251999997</v>
      </c>
      <c r="J5" s="1011">
        <v>289.91669999999999</v>
      </c>
      <c r="K5" s="1011">
        <v>13047.48</v>
      </c>
      <c r="L5" s="1011">
        <v>12.063624103</v>
      </c>
      <c r="M5" s="1011">
        <v>0.26805529420000002</v>
      </c>
      <c r="N5" s="1011">
        <v>1.556849959</v>
      </c>
      <c r="O5" s="1011">
        <v>3.4593408270000001E-2</v>
      </c>
    </row>
    <row r="6" spans="1:15" x14ac:dyDescent="0.25">
      <c r="A6" s="1011" t="s">
        <v>1126</v>
      </c>
      <c r="B6" s="1011" t="s">
        <v>1330</v>
      </c>
      <c r="C6" s="1011" t="s">
        <v>1127</v>
      </c>
      <c r="D6" s="1011">
        <v>2355</v>
      </c>
      <c r="E6" s="1011" t="s">
        <v>118</v>
      </c>
      <c r="F6" s="1011" t="s">
        <v>135</v>
      </c>
      <c r="G6" s="1011" t="s">
        <v>249</v>
      </c>
      <c r="H6" s="1011">
        <v>11654.735164272999</v>
      </c>
      <c r="I6" s="1011">
        <v>1502.322690388</v>
      </c>
      <c r="J6" s="1011">
        <v>964.97590000000002</v>
      </c>
      <c r="K6" s="1011">
        <v>57791.63</v>
      </c>
      <c r="L6" s="1011">
        <v>12.077747397</v>
      </c>
      <c r="M6" s="1011">
        <v>0.2016682202</v>
      </c>
      <c r="N6" s="1011">
        <v>1.556849959</v>
      </c>
      <c r="O6" s="1011">
        <v>2.5995506450000001E-2</v>
      </c>
    </row>
    <row r="7" spans="1:15" x14ac:dyDescent="0.25">
      <c r="A7" s="1011" t="s">
        <v>1126</v>
      </c>
      <c r="B7" s="1011" t="s">
        <v>1331</v>
      </c>
      <c r="C7" s="1011" t="s">
        <v>1127</v>
      </c>
      <c r="D7" s="1011">
        <v>2355</v>
      </c>
      <c r="E7" s="1011" t="s">
        <v>111</v>
      </c>
      <c r="F7" s="1011" t="s">
        <v>135</v>
      </c>
      <c r="G7" s="1011" t="s">
        <v>249</v>
      </c>
      <c r="H7" s="1011">
        <v>421.986064236</v>
      </c>
      <c r="I7" s="1011">
        <v>54.489748566000003</v>
      </c>
      <c r="J7" s="1011">
        <v>35</v>
      </c>
      <c r="K7" s="1011">
        <v>1322.14</v>
      </c>
      <c r="L7" s="1011">
        <v>12.056744692000001</v>
      </c>
      <c r="M7" s="1011">
        <v>0.31916897170000003</v>
      </c>
      <c r="N7" s="1011">
        <v>1.556849959</v>
      </c>
      <c r="O7" s="1011">
        <v>4.121329705E-2</v>
      </c>
    </row>
    <row r="8" spans="1:15" x14ac:dyDescent="0.25">
      <c r="A8" s="1011" t="s">
        <v>1126</v>
      </c>
      <c r="B8" s="1011" t="s">
        <v>1332</v>
      </c>
      <c r="C8" s="1011" t="s">
        <v>1127</v>
      </c>
      <c r="D8" s="1011">
        <v>2355</v>
      </c>
      <c r="E8" s="1011" t="s">
        <v>1</v>
      </c>
      <c r="F8" s="1011" t="s">
        <v>135</v>
      </c>
      <c r="G8" s="1011" t="s">
        <v>249</v>
      </c>
      <c r="H8" s="1011">
        <v>22551.028178643999</v>
      </c>
      <c r="I8" s="1011">
        <v>2908.2382254879999</v>
      </c>
      <c r="J8" s="1011">
        <v>1868.0273</v>
      </c>
      <c r="K8" s="1011">
        <v>101857.51</v>
      </c>
      <c r="L8" s="1011">
        <v>12.072108463999999</v>
      </c>
      <c r="M8" s="1011">
        <v>0.2213977956</v>
      </c>
      <c r="N8" s="1011">
        <v>1.556849959</v>
      </c>
      <c r="O8" s="1011">
        <v>2.855202553E-2</v>
      </c>
    </row>
    <row r="9" spans="1:15" x14ac:dyDescent="0.25">
      <c r="A9" s="1011" t="s">
        <v>1126</v>
      </c>
      <c r="B9" s="1011" t="s">
        <v>1333</v>
      </c>
      <c r="C9" s="1011" t="s">
        <v>1127</v>
      </c>
      <c r="D9" s="1011">
        <v>2355</v>
      </c>
      <c r="E9" s="1011" t="s">
        <v>114</v>
      </c>
      <c r="F9" s="1011" t="s">
        <v>135</v>
      </c>
      <c r="G9" s="1011" t="s">
        <v>1326</v>
      </c>
      <c r="H9" s="1011">
        <v>677794.96962642798</v>
      </c>
      <c r="I9" s="1011">
        <v>87595.747733416007</v>
      </c>
      <c r="J9" s="1011">
        <v>56264.7333</v>
      </c>
      <c r="K9" s="1011">
        <v>1566496.01</v>
      </c>
      <c r="L9" s="1011">
        <v>12.046533057</v>
      </c>
      <c r="M9" s="1011">
        <v>0.43268221899999998</v>
      </c>
      <c r="N9" s="1011">
        <v>1.556849959</v>
      </c>
      <c r="O9" s="1011">
        <v>5.5918270569999998E-2</v>
      </c>
    </row>
    <row r="10" spans="1:15" x14ac:dyDescent="0.25">
      <c r="A10" s="1011" t="s">
        <v>1126</v>
      </c>
      <c r="B10" s="1011" t="s">
        <v>1334</v>
      </c>
      <c r="C10" s="1011" t="s">
        <v>1127</v>
      </c>
      <c r="D10" s="1011">
        <v>2355</v>
      </c>
      <c r="E10" s="1011" t="s">
        <v>117</v>
      </c>
      <c r="F10" s="1011" t="s">
        <v>135</v>
      </c>
      <c r="G10" s="1011" t="s">
        <v>249</v>
      </c>
      <c r="H10" s="1011">
        <v>2336.5034845549999</v>
      </c>
      <c r="I10" s="1011">
        <v>301.45799517299997</v>
      </c>
      <c r="J10" s="1011">
        <v>193.63329999999999</v>
      </c>
      <c r="K10" s="1011">
        <v>9321.9500000000007</v>
      </c>
      <c r="L10" s="1011">
        <v>12.066640833999999</v>
      </c>
      <c r="M10" s="1011">
        <v>0.2506453569</v>
      </c>
      <c r="N10" s="1011">
        <v>1.556849959</v>
      </c>
      <c r="O10" s="1011">
        <v>3.2338512350000001E-2</v>
      </c>
    </row>
    <row r="11" spans="1:15" x14ac:dyDescent="0.25">
      <c r="A11" s="1011" t="s">
        <v>1126</v>
      </c>
      <c r="B11" s="1011" t="s">
        <v>1335</v>
      </c>
      <c r="C11" s="1011" t="s">
        <v>1127</v>
      </c>
      <c r="D11" s="1011">
        <v>2355</v>
      </c>
      <c r="E11" s="1011" t="s">
        <v>113</v>
      </c>
      <c r="F11" s="1011" t="s">
        <v>135</v>
      </c>
      <c r="G11" s="1011" t="s">
        <v>249</v>
      </c>
      <c r="H11" s="1011">
        <v>6409.4856342969997</v>
      </c>
      <c r="I11" s="1011">
        <v>827.15874241699998</v>
      </c>
      <c r="J11" s="1011">
        <v>531.30280000000005</v>
      </c>
      <c r="K11" s="1011">
        <v>24180.21</v>
      </c>
      <c r="L11" s="1011">
        <v>12.063715144</v>
      </c>
      <c r="M11" s="1011">
        <v>0.26507154550000001</v>
      </c>
      <c r="N11" s="1011">
        <v>1.556849959</v>
      </c>
      <c r="O11" s="1011">
        <v>3.4208087620000001E-2</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heetViews>
  <sheetFormatPr defaultRowHeight="15" x14ac:dyDescent="0.25"/>
  <cols>
    <col min="1" max="1" width="18.85546875" style="1011" bestFit="1" customWidth="1"/>
    <col min="2" max="2" width="10.5703125" style="1011" bestFit="1" customWidth="1"/>
    <col min="3" max="3" width="8.85546875" style="1011" bestFit="1" customWidth="1"/>
    <col min="4" max="4" width="11.85546875" style="1011" bestFit="1" customWidth="1"/>
    <col min="5" max="5" width="29.7109375" style="1011" bestFit="1" customWidth="1"/>
    <col min="6" max="6" width="16.42578125" style="1011" bestFit="1" customWidth="1"/>
    <col min="7" max="7" width="27.140625" style="1011" bestFit="1" customWidth="1"/>
    <col min="8" max="8" width="35" style="1011" bestFit="1" customWidth="1"/>
    <col min="9" max="9" width="38.42578125" style="1011" bestFit="1" customWidth="1"/>
    <col min="10" max="10" width="33.85546875" style="1011" bestFit="1" customWidth="1"/>
    <col min="11" max="11" width="26.140625" style="1011" bestFit="1" customWidth="1"/>
    <col min="12" max="12" width="17.42578125" style="1011" bestFit="1" customWidth="1"/>
    <col min="13" max="13" width="12.7109375" style="1011" bestFit="1" customWidth="1"/>
    <col min="14" max="16384" width="9.140625" style="1011"/>
  </cols>
  <sheetData>
    <row r="1" spans="1:13" x14ac:dyDescent="0.25">
      <c r="A1" s="801" t="s">
        <v>1115</v>
      </c>
      <c r="B1" s="801" t="s">
        <v>1112</v>
      </c>
      <c r="C1" s="801" t="s">
        <v>1113</v>
      </c>
      <c r="D1" s="801" t="s">
        <v>1119</v>
      </c>
      <c r="E1" s="801" t="s">
        <v>1168</v>
      </c>
      <c r="F1" s="801" t="s">
        <v>1172</v>
      </c>
      <c r="G1" s="801" t="s">
        <v>1167</v>
      </c>
      <c r="H1" s="801" t="s">
        <v>1186</v>
      </c>
      <c r="I1" s="801" t="s">
        <v>1187</v>
      </c>
      <c r="J1" s="801" t="s">
        <v>1188</v>
      </c>
      <c r="K1" s="801" t="s">
        <v>1120</v>
      </c>
      <c r="L1" s="801" t="s">
        <v>1121</v>
      </c>
      <c r="M1" s="801" t="s">
        <v>1122</v>
      </c>
    </row>
    <row r="2" spans="1:13" x14ac:dyDescent="0.25">
      <c r="A2" s="1011" t="s">
        <v>135</v>
      </c>
      <c r="B2" s="1011" t="s">
        <v>1126</v>
      </c>
      <c r="C2" s="1011">
        <v>2355</v>
      </c>
      <c r="D2" s="1011" t="s">
        <v>1127</v>
      </c>
      <c r="E2" s="1011">
        <v>1816184.13</v>
      </c>
      <c r="F2" s="1011">
        <v>1775281.1925004499</v>
      </c>
      <c r="G2" s="1011">
        <v>61455.472600000001</v>
      </c>
      <c r="H2" s="1011">
        <v>15.942860638000001</v>
      </c>
      <c r="I2" s="1011">
        <v>5.8398283390000003</v>
      </c>
      <c r="J2" s="1011">
        <v>12.048200526</v>
      </c>
      <c r="K2" s="1011">
        <v>33.830889501999998</v>
      </c>
      <c r="L2" s="1011">
        <v>-2.9919952190000001</v>
      </c>
      <c r="M2" s="1011">
        <v>-33.988817804999996</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5"/>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1178</v>
      </c>
      <c r="C1" s="801" t="s">
        <v>1112</v>
      </c>
      <c r="D1" s="801" t="s">
        <v>1174</v>
      </c>
      <c r="E1" s="801" t="s">
        <v>1175</v>
      </c>
      <c r="F1" s="801" t="s">
        <v>1176</v>
      </c>
    </row>
    <row r="2" spans="1:6" x14ac:dyDescent="0.25">
      <c r="A2" s="1011" t="s">
        <v>1552</v>
      </c>
      <c r="B2" s="1011" t="s">
        <v>1553</v>
      </c>
      <c r="C2" s="1011" t="s">
        <v>1126</v>
      </c>
      <c r="D2" s="1011">
        <v>14797.957165440001</v>
      </c>
      <c r="E2" s="1011">
        <v>4</v>
      </c>
      <c r="F2" s="1011">
        <v>3699.4892913600002</v>
      </c>
    </row>
    <row r="3" spans="1:6" x14ac:dyDescent="0.25">
      <c r="A3" s="1011" t="s">
        <v>1554</v>
      </c>
      <c r="B3" s="1011" t="s">
        <v>1555</v>
      </c>
      <c r="C3" s="1011" t="s">
        <v>1126</v>
      </c>
      <c r="D3" s="1011">
        <v>5035.3008715369997</v>
      </c>
      <c r="E3" s="1011">
        <v>1</v>
      </c>
      <c r="F3" s="1011">
        <v>5035.3008715369997</v>
      </c>
    </row>
    <row r="4" spans="1:6" x14ac:dyDescent="0.25">
      <c r="A4" s="1011" t="s">
        <v>1556</v>
      </c>
      <c r="B4" s="1011" t="s">
        <v>1557</v>
      </c>
      <c r="C4" s="1011" t="s">
        <v>1126</v>
      </c>
      <c r="D4" s="1011">
        <v>150625.84475782499</v>
      </c>
      <c r="E4" s="1011">
        <v>50</v>
      </c>
      <c r="F4" s="1011">
        <v>3012.5168951559999</v>
      </c>
    </row>
    <row r="5" spans="1:6" x14ac:dyDescent="0.25">
      <c r="A5" s="1011" t="s">
        <v>1558</v>
      </c>
      <c r="B5" s="1011" t="s">
        <v>1559</v>
      </c>
      <c r="C5" s="1011" t="s">
        <v>1126</v>
      </c>
      <c r="D5" s="1011">
        <v>144962.195466954</v>
      </c>
      <c r="E5" s="1011">
        <v>204</v>
      </c>
      <c r="F5" s="1011">
        <v>710.59899738700005</v>
      </c>
    </row>
    <row r="6" spans="1:6" x14ac:dyDescent="0.25">
      <c r="A6" s="1011" t="s">
        <v>1560</v>
      </c>
      <c r="B6" s="1011" t="s">
        <v>1561</v>
      </c>
      <c r="C6" s="1011" t="s">
        <v>1126</v>
      </c>
      <c r="D6" s="1011">
        <v>19058.37408464</v>
      </c>
      <c r="E6" s="1011">
        <v>3</v>
      </c>
      <c r="F6" s="1011">
        <v>6352.7913615469997</v>
      </c>
    </row>
    <row r="7" spans="1:6" x14ac:dyDescent="0.25">
      <c r="A7" s="1011" t="s">
        <v>1562</v>
      </c>
      <c r="B7" s="1011" t="s">
        <v>1563</v>
      </c>
      <c r="C7" s="1011" t="s">
        <v>1126</v>
      </c>
      <c r="D7" s="1011">
        <v>75558.381362122993</v>
      </c>
      <c r="E7" s="1011">
        <v>35</v>
      </c>
      <c r="F7" s="1011">
        <v>2158.8108960610002</v>
      </c>
    </row>
    <row r="8" spans="1:6" x14ac:dyDescent="0.25">
      <c r="A8" s="1011" t="s">
        <v>1564</v>
      </c>
      <c r="B8" s="1011" t="s">
        <v>1565</v>
      </c>
      <c r="C8" s="1011" t="s">
        <v>1126</v>
      </c>
      <c r="D8" s="1011">
        <v>121474.074986532</v>
      </c>
      <c r="E8" s="1011">
        <v>22</v>
      </c>
      <c r="F8" s="1011">
        <v>5521.5488630239997</v>
      </c>
    </row>
    <row r="9" spans="1:6" x14ac:dyDescent="0.25">
      <c r="A9" s="1011" t="s">
        <v>1566</v>
      </c>
      <c r="B9" s="1011" t="s">
        <v>1567</v>
      </c>
      <c r="C9" s="1011" t="s">
        <v>1126</v>
      </c>
      <c r="D9" s="1011">
        <v>21186.206339113</v>
      </c>
      <c r="E9" s="1011">
        <v>4</v>
      </c>
      <c r="F9" s="1011">
        <v>5296.5515847779998</v>
      </c>
    </row>
    <row r="10" spans="1:6" x14ac:dyDescent="0.25">
      <c r="A10" s="1011" t="s">
        <v>1568</v>
      </c>
      <c r="B10" s="1011" t="s">
        <v>1569</v>
      </c>
      <c r="C10" s="1011" t="s">
        <v>1126</v>
      </c>
      <c r="D10" s="1011">
        <v>54389.354835042999</v>
      </c>
      <c r="E10" s="1011">
        <v>8</v>
      </c>
      <c r="F10" s="1011">
        <v>6798.6693543800002</v>
      </c>
    </row>
    <row r="11" spans="1:6" x14ac:dyDescent="0.25">
      <c r="A11" s="1011" t="s">
        <v>1570</v>
      </c>
      <c r="B11" s="1011" t="s">
        <v>1571</v>
      </c>
      <c r="C11" s="1011" t="s">
        <v>1126</v>
      </c>
      <c r="D11" s="1011">
        <v>31474.407641356</v>
      </c>
      <c r="E11" s="1011">
        <v>8</v>
      </c>
      <c r="F11" s="1011">
        <v>3934.3009551700002</v>
      </c>
    </row>
    <row r="12" spans="1:6" x14ac:dyDescent="0.25">
      <c r="A12" s="1011" t="s">
        <v>1572</v>
      </c>
      <c r="B12" s="1011" t="s">
        <v>1573</v>
      </c>
      <c r="C12" s="1011" t="s">
        <v>1126</v>
      </c>
      <c r="D12" s="1011">
        <v>16491.431311520999</v>
      </c>
      <c r="E12" s="1011">
        <v>4</v>
      </c>
      <c r="F12" s="1011">
        <v>4122.8578278799996</v>
      </c>
    </row>
    <row r="13" spans="1:6" x14ac:dyDescent="0.25">
      <c r="A13" s="1011" t="s">
        <v>1574</v>
      </c>
      <c r="B13" s="1011" t="s">
        <v>1575</v>
      </c>
      <c r="C13" s="1011" t="s">
        <v>1126</v>
      </c>
      <c r="D13" s="1011">
        <v>65678.720683452004</v>
      </c>
      <c r="E13" s="1011">
        <v>22</v>
      </c>
      <c r="F13" s="1011">
        <v>2985.3963947020002</v>
      </c>
    </row>
    <row r="14" spans="1:6" x14ac:dyDescent="0.25">
      <c r="A14" s="1011" t="s">
        <v>1576</v>
      </c>
      <c r="B14" s="1011" t="s">
        <v>1577</v>
      </c>
      <c r="C14" s="1011" t="s">
        <v>1126</v>
      </c>
      <c r="D14" s="1011">
        <v>107739.560046381</v>
      </c>
      <c r="E14" s="1011">
        <v>31</v>
      </c>
      <c r="F14" s="1011">
        <v>3475.4696789159998</v>
      </c>
    </row>
    <row r="15" spans="1:6" x14ac:dyDescent="0.25">
      <c r="A15" s="1011" t="s">
        <v>1578</v>
      </c>
      <c r="B15" s="1011" t="s">
        <v>1579</v>
      </c>
      <c r="C15" s="1011" t="s">
        <v>1126</v>
      </c>
      <c r="D15" s="1011">
        <v>151461.05044808501</v>
      </c>
      <c r="E15" s="1011">
        <v>49</v>
      </c>
      <c r="F15" s="1011">
        <v>3091.041845879</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42"/>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1177</v>
      </c>
      <c r="C1" s="801" t="s">
        <v>1112</v>
      </c>
      <c r="D1" s="801" t="s">
        <v>1174</v>
      </c>
      <c r="E1" s="801" t="s">
        <v>1175</v>
      </c>
      <c r="F1" s="801" t="s">
        <v>1176</v>
      </c>
    </row>
    <row r="2" spans="1:6" x14ac:dyDescent="0.25">
      <c r="A2" s="1011" t="s">
        <v>1470</v>
      </c>
      <c r="B2" s="1011" t="s">
        <v>1471</v>
      </c>
      <c r="C2" s="1011" t="s">
        <v>1126</v>
      </c>
      <c r="D2" s="1011">
        <v>17569.072856344999</v>
      </c>
      <c r="E2" s="1011">
        <v>9</v>
      </c>
      <c r="F2" s="1011">
        <v>1952.119206261</v>
      </c>
    </row>
    <row r="3" spans="1:6" x14ac:dyDescent="0.25">
      <c r="A3" s="1011" t="s">
        <v>1472</v>
      </c>
      <c r="B3" s="1011" t="s">
        <v>1473</v>
      </c>
      <c r="C3" s="1011" t="s">
        <v>1126</v>
      </c>
      <c r="D3" s="1011">
        <v>21133.648862188002</v>
      </c>
      <c r="E3" s="1011">
        <v>4</v>
      </c>
      <c r="F3" s="1011">
        <v>5283.4122155470004</v>
      </c>
    </row>
    <row r="4" spans="1:6" x14ac:dyDescent="0.25">
      <c r="A4" s="1011" t="s">
        <v>1474</v>
      </c>
      <c r="B4" s="1011" t="s">
        <v>1475</v>
      </c>
      <c r="C4" s="1011" t="s">
        <v>1126</v>
      </c>
      <c r="D4" s="1011">
        <v>33922.929878190997</v>
      </c>
      <c r="E4" s="1011">
        <v>9</v>
      </c>
      <c r="F4" s="1011">
        <v>3769.2144309099999</v>
      </c>
    </row>
    <row r="5" spans="1:6" x14ac:dyDescent="0.25">
      <c r="A5" s="1011" t="s">
        <v>1476</v>
      </c>
      <c r="B5" s="1011" t="s">
        <v>1477</v>
      </c>
      <c r="C5" s="1011" t="s">
        <v>1126</v>
      </c>
      <c r="D5" s="1011">
        <v>16089.756967518</v>
      </c>
      <c r="E5" s="1011">
        <v>7</v>
      </c>
      <c r="F5" s="1011">
        <v>2298.536709645</v>
      </c>
    </row>
    <row r="6" spans="1:6" x14ac:dyDescent="0.25">
      <c r="A6" s="1011" t="s">
        <v>1478</v>
      </c>
      <c r="B6" s="1011" t="s">
        <v>1479</v>
      </c>
      <c r="C6" s="1011" t="s">
        <v>1126</v>
      </c>
      <c r="D6" s="1011">
        <v>7801.1506524839997</v>
      </c>
      <c r="E6" s="1011">
        <v>1</v>
      </c>
      <c r="F6" s="1011">
        <v>7801.1506524839997</v>
      </c>
    </row>
    <row r="7" spans="1:6" x14ac:dyDescent="0.25">
      <c r="A7" s="1011" t="s">
        <v>1480</v>
      </c>
      <c r="B7" s="1011" t="s">
        <v>1481</v>
      </c>
      <c r="C7" s="1011" t="s">
        <v>1126</v>
      </c>
      <c r="D7" s="1011">
        <v>8465.5310779760002</v>
      </c>
      <c r="E7" s="1011">
        <v>1</v>
      </c>
      <c r="F7" s="1011">
        <v>8465.5310779760002</v>
      </c>
    </row>
    <row r="8" spans="1:6" x14ac:dyDescent="0.25">
      <c r="A8" s="1011" t="s">
        <v>1482</v>
      </c>
      <c r="B8" s="1011" t="s">
        <v>1483</v>
      </c>
      <c r="C8" s="1011" t="s">
        <v>1126</v>
      </c>
      <c r="D8" s="1011">
        <v>41893.034973073001</v>
      </c>
      <c r="E8" s="1011">
        <v>12</v>
      </c>
      <c r="F8" s="1011">
        <v>3491.0862477559999</v>
      </c>
    </row>
    <row r="9" spans="1:6" x14ac:dyDescent="0.25">
      <c r="A9" s="1011" t="s">
        <v>1484</v>
      </c>
      <c r="B9" s="1011" t="s">
        <v>1485</v>
      </c>
      <c r="C9" s="1011" t="s">
        <v>1126</v>
      </c>
      <c r="D9" s="1011">
        <v>2738.079075228</v>
      </c>
      <c r="E9" s="1011">
        <v>3</v>
      </c>
      <c r="F9" s="1011">
        <v>912.69302507600003</v>
      </c>
    </row>
    <row r="10" spans="1:6" x14ac:dyDescent="0.25">
      <c r="A10" s="1011" t="s">
        <v>1486</v>
      </c>
      <c r="B10" s="1011" t="s">
        <v>1487</v>
      </c>
      <c r="C10" s="1011" t="s">
        <v>1126</v>
      </c>
      <c r="D10" s="1011">
        <v>10488.975424269</v>
      </c>
      <c r="E10" s="1011">
        <v>7</v>
      </c>
      <c r="F10" s="1011">
        <v>1498.4250606099999</v>
      </c>
    </row>
    <row r="11" spans="1:6" x14ac:dyDescent="0.25">
      <c r="A11" s="1011" t="s">
        <v>1488</v>
      </c>
      <c r="B11" s="1011" t="s">
        <v>1489</v>
      </c>
      <c r="C11" s="1011" t="s">
        <v>1126</v>
      </c>
      <c r="D11" s="1011">
        <v>8548.4437034990005</v>
      </c>
      <c r="E11" s="1011">
        <v>7</v>
      </c>
      <c r="F11" s="1011">
        <v>1221.2062433569999</v>
      </c>
    </row>
    <row r="12" spans="1:6" x14ac:dyDescent="0.25">
      <c r="A12" s="1011" t="s">
        <v>1490</v>
      </c>
      <c r="B12" s="1011" t="s">
        <v>1491</v>
      </c>
      <c r="C12" s="1011" t="s">
        <v>1126</v>
      </c>
      <c r="D12" s="1011">
        <v>10544.591800071001</v>
      </c>
      <c r="E12" s="1011">
        <v>20</v>
      </c>
      <c r="F12" s="1011">
        <v>527.22959000399999</v>
      </c>
    </row>
    <row r="13" spans="1:6" x14ac:dyDescent="0.25">
      <c r="A13" s="1011" t="s">
        <v>1492</v>
      </c>
      <c r="B13" s="1011" t="s">
        <v>1493</v>
      </c>
      <c r="C13" s="1011" t="s">
        <v>1126</v>
      </c>
      <c r="D13" s="1011">
        <v>14317.946992095</v>
      </c>
      <c r="E13" s="1011">
        <v>3</v>
      </c>
      <c r="F13" s="1011">
        <v>4772.6489973649996</v>
      </c>
    </row>
    <row r="14" spans="1:6" x14ac:dyDescent="0.25">
      <c r="A14" s="1011" t="s">
        <v>1494</v>
      </c>
      <c r="B14" s="1011" t="s">
        <v>1495</v>
      </c>
      <c r="C14" s="1011" t="s">
        <v>1126</v>
      </c>
      <c r="D14" s="1011">
        <v>2173.4843194260002</v>
      </c>
      <c r="E14" s="1011">
        <v>1</v>
      </c>
      <c r="F14" s="1011">
        <v>2173.4843194260002</v>
      </c>
    </row>
    <row r="15" spans="1:6" x14ac:dyDescent="0.25">
      <c r="A15" s="1011" t="s">
        <v>1496</v>
      </c>
      <c r="B15" s="1011" t="s">
        <v>1497</v>
      </c>
      <c r="C15" s="1011" t="s">
        <v>1126</v>
      </c>
      <c r="D15" s="1011">
        <v>5035.3008715369997</v>
      </c>
      <c r="E15" s="1011">
        <v>1</v>
      </c>
      <c r="F15" s="1011">
        <v>5035.3008715369997</v>
      </c>
    </row>
    <row r="16" spans="1:6" x14ac:dyDescent="0.25">
      <c r="A16" s="1011" t="s">
        <v>1498</v>
      </c>
      <c r="B16" s="1011" t="s">
        <v>1499</v>
      </c>
      <c r="C16" s="1011" t="s">
        <v>1126</v>
      </c>
      <c r="D16" s="1011">
        <v>15205.972384752</v>
      </c>
      <c r="E16" s="1011">
        <v>4</v>
      </c>
      <c r="F16" s="1011">
        <v>3801.493096188</v>
      </c>
    </row>
    <row r="17" spans="1:6" x14ac:dyDescent="0.25">
      <c r="A17" s="1011" t="s">
        <v>1500</v>
      </c>
      <c r="B17" s="1011" t="s">
        <v>1501</v>
      </c>
      <c r="C17" s="1011" t="s">
        <v>1126</v>
      </c>
      <c r="D17" s="1011">
        <v>4285.5805893340003</v>
      </c>
      <c r="E17" s="1011">
        <v>1</v>
      </c>
      <c r="F17" s="1011">
        <v>4285.5805893340003</v>
      </c>
    </row>
    <row r="18" spans="1:6" x14ac:dyDescent="0.25">
      <c r="A18" s="1011" t="s">
        <v>1502</v>
      </c>
      <c r="B18" s="1011" t="s">
        <v>1503</v>
      </c>
      <c r="C18" s="1011" t="s">
        <v>1126</v>
      </c>
      <c r="D18" s="1011">
        <v>19360.41730379</v>
      </c>
      <c r="E18" s="1011">
        <v>5</v>
      </c>
      <c r="F18" s="1011">
        <v>3872.083460758</v>
      </c>
    </row>
    <row r="19" spans="1:6" x14ac:dyDescent="0.25">
      <c r="A19" s="1011" t="s">
        <v>1504</v>
      </c>
      <c r="B19" s="1011" t="s">
        <v>1505</v>
      </c>
      <c r="C19" s="1011" t="s">
        <v>1126</v>
      </c>
      <c r="D19" s="1011">
        <v>14797.957165440001</v>
      </c>
      <c r="E19" s="1011">
        <v>4</v>
      </c>
      <c r="F19" s="1011">
        <v>3699.4892913600002</v>
      </c>
    </row>
    <row r="20" spans="1:6" x14ac:dyDescent="0.25">
      <c r="A20" s="1011" t="s">
        <v>1506</v>
      </c>
      <c r="B20" s="1011" t="s">
        <v>1507</v>
      </c>
      <c r="C20" s="1011" t="s">
        <v>1126</v>
      </c>
      <c r="D20" s="1011">
        <v>10011.869713325001</v>
      </c>
      <c r="E20" s="1011">
        <v>2</v>
      </c>
      <c r="F20" s="1011">
        <v>5005.9348566620001</v>
      </c>
    </row>
    <row r="21" spans="1:6" x14ac:dyDescent="0.25">
      <c r="A21" s="1011" t="s">
        <v>1508</v>
      </c>
      <c r="B21" s="1011" t="s">
        <v>1509</v>
      </c>
      <c r="C21" s="1011" t="s">
        <v>1126</v>
      </c>
      <c r="D21" s="1011">
        <v>36832.044474693997</v>
      </c>
      <c r="E21" s="1011">
        <v>10</v>
      </c>
      <c r="F21" s="1011">
        <v>3683.2044474690001</v>
      </c>
    </row>
    <row r="22" spans="1:6" x14ac:dyDescent="0.25">
      <c r="A22" s="1011" t="s">
        <v>1510</v>
      </c>
      <c r="B22" s="1011" t="s">
        <v>1511</v>
      </c>
      <c r="C22" s="1011" t="s">
        <v>1126</v>
      </c>
      <c r="D22" s="1011">
        <v>15010.722544902001</v>
      </c>
      <c r="E22" s="1011">
        <v>3</v>
      </c>
      <c r="F22" s="1011">
        <v>5003.5741816339996</v>
      </c>
    </row>
    <row r="23" spans="1:6" x14ac:dyDescent="0.25">
      <c r="A23" s="1011" t="s">
        <v>1512</v>
      </c>
      <c r="B23" s="1011" t="s">
        <v>1513</v>
      </c>
      <c r="C23" s="1011" t="s">
        <v>1126</v>
      </c>
      <c r="D23" s="1011">
        <v>10273.00411358</v>
      </c>
      <c r="E23" s="1011">
        <v>3</v>
      </c>
      <c r="F23" s="1011">
        <v>3424.3347045270002</v>
      </c>
    </row>
    <row r="24" spans="1:6" x14ac:dyDescent="0.25">
      <c r="A24" s="1011" t="s">
        <v>1514</v>
      </c>
      <c r="B24" s="1011" t="s">
        <v>1515</v>
      </c>
      <c r="C24" s="1011" t="s">
        <v>1126</v>
      </c>
      <c r="D24" s="1011">
        <v>9046.5043713150008</v>
      </c>
      <c r="E24" s="1011">
        <v>1</v>
      </c>
      <c r="F24" s="1011">
        <v>9046.5043713150008</v>
      </c>
    </row>
    <row r="25" spans="1:6" x14ac:dyDescent="0.25">
      <c r="A25" s="1011" t="s">
        <v>1516</v>
      </c>
      <c r="B25" s="1011" t="s">
        <v>1517</v>
      </c>
      <c r="C25" s="1011" t="s">
        <v>1126</v>
      </c>
      <c r="D25" s="1011">
        <v>49994.206533980003</v>
      </c>
      <c r="E25" s="1011">
        <v>7</v>
      </c>
      <c r="F25" s="1011">
        <v>7142.0295048540002</v>
      </c>
    </row>
    <row r="26" spans="1:6" x14ac:dyDescent="0.25">
      <c r="A26" s="1011" t="s">
        <v>1518</v>
      </c>
      <c r="B26" s="1011" t="s">
        <v>1519</v>
      </c>
      <c r="C26" s="1011" t="s">
        <v>1126</v>
      </c>
      <c r="D26" s="1011">
        <v>151461.05044808501</v>
      </c>
      <c r="E26" s="1011">
        <v>49</v>
      </c>
      <c r="F26" s="1011">
        <v>3091.041845879</v>
      </c>
    </row>
    <row r="27" spans="1:6" x14ac:dyDescent="0.25">
      <c r="A27" s="1011" t="s">
        <v>1520</v>
      </c>
      <c r="B27" s="1011" t="s">
        <v>1521</v>
      </c>
      <c r="C27" s="1011" t="s">
        <v>1126</v>
      </c>
      <c r="D27" s="1011">
        <v>34198.237013933998</v>
      </c>
      <c r="E27" s="1011">
        <v>8</v>
      </c>
      <c r="F27" s="1011">
        <v>4274.7796267419999</v>
      </c>
    </row>
    <row r="28" spans="1:6" x14ac:dyDescent="0.25">
      <c r="A28" s="1011" t="s">
        <v>1522</v>
      </c>
      <c r="B28" s="1011" t="s">
        <v>1523</v>
      </c>
      <c r="C28" s="1011" t="s">
        <v>1126</v>
      </c>
      <c r="D28" s="1011">
        <v>6175.4837942109998</v>
      </c>
      <c r="E28" s="1011">
        <v>1</v>
      </c>
      <c r="F28" s="1011">
        <v>6175.4837942109998</v>
      </c>
    </row>
    <row r="29" spans="1:6" x14ac:dyDescent="0.25">
      <c r="A29" s="1011" t="s">
        <v>1524</v>
      </c>
      <c r="B29" s="1011" t="s">
        <v>1525</v>
      </c>
      <c r="C29" s="1011" t="s">
        <v>1126</v>
      </c>
      <c r="D29" s="1011">
        <v>6674.9889942629998</v>
      </c>
      <c r="E29" s="1011">
        <v>2</v>
      </c>
      <c r="F29" s="1011">
        <v>3337.4944971320001</v>
      </c>
    </row>
    <row r="30" spans="1:6" x14ac:dyDescent="0.25">
      <c r="A30" s="1011" t="s">
        <v>1526</v>
      </c>
      <c r="B30" s="1011" t="s">
        <v>1527</v>
      </c>
      <c r="C30" s="1011" t="s">
        <v>1126</v>
      </c>
      <c r="D30" s="1011">
        <v>33782.016263512996</v>
      </c>
      <c r="E30" s="1011">
        <v>9</v>
      </c>
      <c r="F30" s="1011">
        <v>3753.5573626129999</v>
      </c>
    </row>
    <row r="31" spans="1:6" x14ac:dyDescent="0.25">
      <c r="A31" s="1011" t="s">
        <v>1528</v>
      </c>
      <c r="B31" s="1011" t="s">
        <v>1529</v>
      </c>
      <c r="C31" s="1011" t="s">
        <v>1126</v>
      </c>
      <c r="D31" s="1011">
        <v>4054.6274500139998</v>
      </c>
      <c r="E31" s="1011">
        <v>1</v>
      </c>
      <c r="F31" s="1011">
        <v>4054.6274500139998</v>
      </c>
    </row>
    <row r="32" spans="1:6" x14ac:dyDescent="0.25">
      <c r="A32" s="1011" t="s">
        <v>1530</v>
      </c>
      <c r="B32" s="1011" t="s">
        <v>1531</v>
      </c>
      <c r="C32" s="1011" t="s">
        <v>1126</v>
      </c>
      <c r="D32" s="1011">
        <v>134417.603666882</v>
      </c>
      <c r="E32" s="1011">
        <v>184</v>
      </c>
      <c r="F32" s="1011">
        <v>730.53045471099995</v>
      </c>
    </row>
    <row r="33" spans="1:6" x14ac:dyDescent="0.25">
      <c r="A33" s="1011" t="s">
        <v>1532</v>
      </c>
      <c r="B33" s="1011" t="s">
        <v>1533</v>
      </c>
      <c r="C33" s="1011" t="s">
        <v>1126</v>
      </c>
      <c r="D33" s="1011">
        <v>14329.258253124</v>
      </c>
      <c r="E33" s="1011">
        <v>8</v>
      </c>
      <c r="F33" s="1011">
        <v>1791.1572816400001</v>
      </c>
    </row>
    <row r="34" spans="1:6" x14ac:dyDescent="0.25">
      <c r="A34" s="1011" t="s">
        <v>1534</v>
      </c>
      <c r="B34" s="1011" t="s">
        <v>1535</v>
      </c>
      <c r="C34" s="1011" t="s">
        <v>1126</v>
      </c>
      <c r="D34" s="1011">
        <v>41635.451483932004</v>
      </c>
      <c r="E34" s="1011">
        <v>26</v>
      </c>
      <c r="F34" s="1011">
        <v>1601.363518613</v>
      </c>
    </row>
    <row r="35" spans="1:6" x14ac:dyDescent="0.25">
      <c r="A35" s="1011" t="s">
        <v>1536</v>
      </c>
      <c r="B35" s="1011" t="s">
        <v>1537</v>
      </c>
      <c r="C35" s="1011" t="s">
        <v>1126</v>
      </c>
      <c r="D35" s="1011">
        <v>27515.327310147</v>
      </c>
      <c r="E35" s="1011">
        <v>4</v>
      </c>
      <c r="F35" s="1011">
        <v>6878.8318275370002</v>
      </c>
    </row>
    <row r="36" spans="1:6" x14ac:dyDescent="0.25">
      <c r="A36" s="1011" t="s">
        <v>1538</v>
      </c>
      <c r="B36" s="1011" t="s">
        <v>1539</v>
      </c>
      <c r="C36" s="1011" t="s">
        <v>1126</v>
      </c>
      <c r="D36" s="1011">
        <v>27411.221146402</v>
      </c>
      <c r="E36" s="1011">
        <v>6</v>
      </c>
      <c r="F36" s="1011">
        <v>4568.5368577339996</v>
      </c>
    </row>
    <row r="37" spans="1:6" x14ac:dyDescent="0.25">
      <c r="A37" s="1011" t="s">
        <v>1540</v>
      </c>
      <c r="B37" s="1011" t="s">
        <v>1541</v>
      </c>
      <c r="C37" s="1011" t="s">
        <v>1126</v>
      </c>
      <c r="D37" s="1011">
        <v>3201.04696143</v>
      </c>
      <c r="E37" s="1011">
        <v>1</v>
      </c>
      <c r="F37" s="1011">
        <v>3201.04696143</v>
      </c>
    </row>
    <row r="38" spans="1:6" x14ac:dyDescent="0.25">
      <c r="A38" s="1011" t="s">
        <v>1542</v>
      </c>
      <c r="B38" s="1011" t="s">
        <v>1543</v>
      </c>
      <c r="C38" s="1011" t="s">
        <v>1126</v>
      </c>
      <c r="D38" s="1011">
        <v>26874.027524895999</v>
      </c>
      <c r="E38" s="1011">
        <v>4</v>
      </c>
      <c r="F38" s="1011">
        <v>6718.5068812239997</v>
      </c>
    </row>
    <row r="39" spans="1:6" x14ac:dyDescent="0.25">
      <c r="A39" s="1011" t="s">
        <v>1544</v>
      </c>
      <c r="B39" s="1011" t="s">
        <v>1545</v>
      </c>
      <c r="C39" s="1011" t="s">
        <v>1126</v>
      </c>
      <c r="D39" s="1011">
        <v>6668.3167135009999</v>
      </c>
      <c r="E39" s="1011">
        <v>3</v>
      </c>
      <c r="F39" s="1011">
        <v>2222.772237834</v>
      </c>
    </row>
    <row r="40" spans="1:6" x14ac:dyDescent="0.25">
      <c r="A40" s="1011" t="s">
        <v>1546</v>
      </c>
      <c r="B40" s="1011" t="s">
        <v>1547</v>
      </c>
      <c r="C40" s="1011" t="s">
        <v>1126</v>
      </c>
      <c r="D40" s="1011">
        <v>16268.435256604</v>
      </c>
      <c r="E40" s="1011">
        <v>4</v>
      </c>
      <c r="F40" s="1011">
        <v>4067.1088141509999</v>
      </c>
    </row>
    <row r="41" spans="1:6" x14ac:dyDescent="0.25">
      <c r="A41" s="1011" t="s">
        <v>1548</v>
      </c>
      <c r="B41" s="1011" t="s">
        <v>1549</v>
      </c>
      <c r="C41" s="1011" t="s">
        <v>1126</v>
      </c>
      <c r="D41" s="1011">
        <v>18937.955949919</v>
      </c>
      <c r="E41" s="1011">
        <v>5</v>
      </c>
      <c r="F41" s="1011">
        <v>3787.5911899839998</v>
      </c>
    </row>
    <row r="42" spans="1:6" x14ac:dyDescent="0.25">
      <c r="A42" s="1011" t="s">
        <v>1550</v>
      </c>
      <c r="B42" s="1011" t="s">
        <v>1551</v>
      </c>
      <c r="C42" s="1011" t="s">
        <v>1126</v>
      </c>
      <c r="D42" s="1011">
        <v>40787.585120131</v>
      </c>
      <c r="E42" s="1011">
        <v>5</v>
      </c>
      <c r="F42" s="1011">
        <v>8157.5170240260004</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68"/>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1173</v>
      </c>
      <c r="C1" s="801" t="s">
        <v>1112</v>
      </c>
      <c r="D1" s="801" t="s">
        <v>1174</v>
      </c>
      <c r="E1" s="801" t="s">
        <v>1175</v>
      </c>
      <c r="F1" s="801" t="s">
        <v>1176</v>
      </c>
    </row>
    <row r="2" spans="1:6" x14ac:dyDescent="0.25">
      <c r="A2" s="1011" t="s">
        <v>1336</v>
      </c>
      <c r="B2" s="1011" t="s">
        <v>1337</v>
      </c>
      <c r="C2" s="1011" t="s">
        <v>1126</v>
      </c>
      <c r="D2" s="1011">
        <v>8548.4437034990005</v>
      </c>
      <c r="E2" s="1011">
        <v>7</v>
      </c>
      <c r="F2" s="1011">
        <v>1221.2062433569999</v>
      </c>
    </row>
    <row r="3" spans="1:6" x14ac:dyDescent="0.25">
      <c r="A3" s="1011" t="s">
        <v>1338</v>
      </c>
      <c r="B3" s="1011" t="s">
        <v>1339</v>
      </c>
      <c r="C3" s="1011" t="s">
        <v>1126</v>
      </c>
      <c r="D3" s="1011">
        <v>2700.2657236220002</v>
      </c>
      <c r="E3" s="1011">
        <v>1</v>
      </c>
      <c r="F3" s="1011">
        <v>2700.2657236220002</v>
      </c>
    </row>
    <row r="4" spans="1:6" x14ac:dyDescent="0.25">
      <c r="A4" s="1011" t="s">
        <v>1340</v>
      </c>
      <c r="B4" s="1011" t="s">
        <v>1341</v>
      </c>
      <c r="C4" s="1011" t="s">
        <v>1126</v>
      </c>
      <c r="D4" s="1011">
        <v>9799.3844880439992</v>
      </c>
      <c r="E4" s="1011">
        <v>10</v>
      </c>
      <c r="F4" s="1011">
        <v>979.93844880400002</v>
      </c>
    </row>
    <row r="5" spans="1:6" x14ac:dyDescent="0.25">
      <c r="A5" s="1011" t="s">
        <v>1342</v>
      </c>
      <c r="B5" s="1011" t="s">
        <v>1343</v>
      </c>
      <c r="C5" s="1011" t="s">
        <v>1126</v>
      </c>
      <c r="D5" s="1011">
        <v>6265.8089729049998</v>
      </c>
      <c r="E5" s="1011">
        <v>4</v>
      </c>
      <c r="F5" s="1011">
        <v>1566.4522432260001</v>
      </c>
    </row>
    <row r="6" spans="1:6" x14ac:dyDescent="0.25">
      <c r="A6" s="1011" t="s">
        <v>1344</v>
      </c>
      <c r="B6" s="1011" t="s">
        <v>1345</v>
      </c>
      <c r="C6" s="1011" t="s">
        <v>1126</v>
      </c>
      <c r="D6" s="1011">
        <v>14869.796330851001</v>
      </c>
      <c r="E6" s="1011">
        <v>4</v>
      </c>
      <c r="F6" s="1011">
        <v>3717.4490827129998</v>
      </c>
    </row>
    <row r="7" spans="1:6" x14ac:dyDescent="0.25">
      <c r="A7" s="1011" t="s">
        <v>1346</v>
      </c>
      <c r="B7" s="1011" t="s">
        <v>1347</v>
      </c>
      <c r="C7" s="1011" t="s">
        <v>1126</v>
      </c>
      <c r="D7" s="1011">
        <v>26874.027524895999</v>
      </c>
      <c r="E7" s="1011">
        <v>4</v>
      </c>
      <c r="F7" s="1011">
        <v>6718.5068812239997</v>
      </c>
    </row>
    <row r="8" spans="1:6" x14ac:dyDescent="0.25">
      <c r="A8" s="1011" t="s">
        <v>1348</v>
      </c>
      <c r="B8" s="1011" t="s">
        <v>1349</v>
      </c>
      <c r="C8" s="1011" t="s">
        <v>1126</v>
      </c>
      <c r="D8" s="1011">
        <v>16268.435256604</v>
      </c>
      <c r="E8" s="1011">
        <v>4</v>
      </c>
      <c r="F8" s="1011">
        <v>4067.1088141509999</v>
      </c>
    </row>
    <row r="9" spans="1:6" x14ac:dyDescent="0.25">
      <c r="A9" s="1011" t="s">
        <v>1350</v>
      </c>
      <c r="B9" s="1011" t="s">
        <v>1351</v>
      </c>
      <c r="C9" s="1011" t="s">
        <v>1126</v>
      </c>
      <c r="D9" s="1011">
        <v>4054.5863368810001</v>
      </c>
      <c r="E9" s="1011">
        <v>3</v>
      </c>
      <c r="F9" s="1011">
        <v>1351.52877896</v>
      </c>
    </row>
    <row r="10" spans="1:6" x14ac:dyDescent="0.25">
      <c r="A10" s="1011" t="s">
        <v>1352</v>
      </c>
      <c r="B10" s="1011" t="s">
        <v>1353</v>
      </c>
      <c r="C10" s="1011" t="s">
        <v>1126</v>
      </c>
      <c r="D10" s="1011">
        <v>33922.929878190997</v>
      </c>
      <c r="E10" s="1011">
        <v>9</v>
      </c>
      <c r="F10" s="1011">
        <v>3769.2144309099999</v>
      </c>
    </row>
    <row r="11" spans="1:6" x14ac:dyDescent="0.25">
      <c r="A11" s="1011" t="s">
        <v>1354</v>
      </c>
      <c r="B11" s="1011" t="s">
        <v>1355</v>
      </c>
      <c r="C11" s="1011" t="s">
        <v>1126</v>
      </c>
      <c r="D11" s="1011">
        <v>27515.327310147</v>
      </c>
      <c r="E11" s="1011">
        <v>4</v>
      </c>
      <c r="F11" s="1011">
        <v>6878.8318275370002</v>
      </c>
    </row>
    <row r="12" spans="1:6" x14ac:dyDescent="0.25">
      <c r="A12" s="1011" t="s">
        <v>1356</v>
      </c>
      <c r="B12" s="1011" t="s">
        <v>1357</v>
      </c>
      <c r="C12" s="1011" t="s">
        <v>1126</v>
      </c>
      <c r="D12" s="1011">
        <v>10273.00411358</v>
      </c>
      <c r="E12" s="1011">
        <v>3</v>
      </c>
      <c r="F12" s="1011">
        <v>3424.3347045270002</v>
      </c>
    </row>
    <row r="13" spans="1:6" x14ac:dyDescent="0.25">
      <c r="A13" s="1011" t="s">
        <v>1358</v>
      </c>
      <c r="B13" s="1011" t="s">
        <v>1359</v>
      </c>
      <c r="C13" s="1011" t="s">
        <v>1126</v>
      </c>
      <c r="D13" s="1011">
        <v>3382.1386684220001</v>
      </c>
      <c r="E13" s="1011">
        <v>1</v>
      </c>
      <c r="F13" s="1011">
        <v>3382.1386684220001</v>
      </c>
    </row>
    <row r="14" spans="1:6" x14ac:dyDescent="0.25">
      <c r="A14" s="1011" t="s">
        <v>1360</v>
      </c>
      <c r="B14" s="1011" t="s">
        <v>1361</v>
      </c>
      <c r="C14" s="1011" t="s">
        <v>1126</v>
      </c>
      <c r="D14" s="1011">
        <v>985.56229146700002</v>
      </c>
      <c r="E14" s="1011">
        <v>1</v>
      </c>
      <c r="F14" s="1011">
        <v>985.56229146700002</v>
      </c>
    </row>
    <row r="15" spans="1:6" x14ac:dyDescent="0.25">
      <c r="A15" s="1011" t="s">
        <v>1362</v>
      </c>
      <c r="B15" s="1011" t="s">
        <v>1363</v>
      </c>
      <c r="C15" s="1011" t="s">
        <v>1126</v>
      </c>
      <c r="D15" s="1011">
        <v>7473.4752178369999</v>
      </c>
      <c r="E15" s="1011">
        <v>2</v>
      </c>
      <c r="F15" s="1011">
        <v>3736.7376089190002</v>
      </c>
    </row>
    <row r="16" spans="1:6" x14ac:dyDescent="0.25">
      <c r="A16" s="1011" t="s">
        <v>1364</v>
      </c>
      <c r="B16" s="1011" t="s">
        <v>1365</v>
      </c>
      <c r="C16" s="1011" t="s">
        <v>1126</v>
      </c>
      <c r="D16" s="1011">
        <v>7381.1522603229996</v>
      </c>
      <c r="E16" s="1011">
        <v>2</v>
      </c>
      <c r="F16" s="1011">
        <v>3690.576130162</v>
      </c>
    </row>
    <row r="17" spans="1:6" x14ac:dyDescent="0.25">
      <c r="A17" s="1011" t="s">
        <v>1366</v>
      </c>
      <c r="B17" s="1011" t="s">
        <v>1367</v>
      </c>
      <c r="C17" s="1011" t="s">
        <v>1126</v>
      </c>
      <c r="D17" s="1011">
        <v>8465.5310779760002</v>
      </c>
      <c r="E17" s="1011">
        <v>1</v>
      </c>
      <c r="F17" s="1011">
        <v>8465.5310779760002</v>
      </c>
    </row>
    <row r="18" spans="1:6" x14ac:dyDescent="0.25">
      <c r="A18" s="1011" t="s">
        <v>1368</v>
      </c>
      <c r="B18" s="1011" t="s">
        <v>1369</v>
      </c>
      <c r="C18" s="1011" t="s">
        <v>1126</v>
      </c>
      <c r="D18" s="1011">
        <v>6175.4837942109998</v>
      </c>
      <c r="E18" s="1011">
        <v>1</v>
      </c>
      <c r="F18" s="1011">
        <v>6175.4837942109998</v>
      </c>
    </row>
    <row r="19" spans="1:6" x14ac:dyDescent="0.25">
      <c r="A19" s="1011" t="s">
        <v>1370</v>
      </c>
      <c r="B19" s="1011" t="s">
        <v>1371</v>
      </c>
      <c r="C19" s="1011" t="s">
        <v>1126</v>
      </c>
      <c r="D19" s="1011">
        <v>5096.1889592280004</v>
      </c>
      <c r="E19" s="1011">
        <v>6</v>
      </c>
      <c r="F19" s="1011">
        <v>849.36482653799999</v>
      </c>
    </row>
    <row r="20" spans="1:6" x14ac:dyDescent="0.25">
      <c r="A20" s="1011" t="s">
        <v>1372</v>
      </c>
      <c r="B20" s="1011" t="s">
        <v>1373</v>
      </c>
      <c r="C20" s="1011" t="s">
        <v>1126</v>
      </c>
      <c r="D20" s="1011">
        <v>17025.629295569001</v>
      </c>
      <c r="E20" s="1011">
        <v>3</v>
      </c>
      <c r="F20" s="1011">
        <v>5675.2097651900003</v>
      </c>
    </row>
    <row r="21" spans="1:6" x14ac:dyDescent="0.25">
      <c r="A21" s="1011" t="s">
        <v>1374</v>
      </c>
      <c r="B21" s="1011" t="s">
        <v>1375</v>
      </c>
      <c r="C21" s="1011" t="s">
        <v>1126</v>
      </c>
      <c r="D21" s="1011">
        <v>13734.437808568</v>
      </c>
      <c r="E21" s="1011">
        <v>32</v>
      </c>
      <c r="F21" s="1011">
        <v>429.201181518</v>
      </c>
    </row>
    <row r="22" spans="1:6" x14ac:dyDescent="0.25">
      <c r="A22" s="1011" t="s">
        <v>1376</v>
      </c>
      <c r="B22" s="1011" t="s">
        <v>1377</v>
      </c>
      <c r="C22" s="1011" t="s">
        <v>1126</v>
      </c>
      <c r="D22" s="1011">
        <v>2101.5330077540002</v>
      </c>
      <c r="E22" s="1011">
        <v>1</v>
      </c>
      <c r="F22" s="1011">
        <v>2101.5330077540002</v>
      </c>
    </row>
    <row r="23" spans="1:6" x14ac:dyDescent="0.25">
      <c r="A23" s="1011" t="s">
        <v>1378</v>
      </c>
      <c r="B23" s="1011" t="s">
        <v>1379</v>
      </c>
      <c r="C23" s="1011" t="s">
        <v>1126</v>
      </c>
      <c r="D23" s="1011">
        <v>7716.9677853679996</v>
      </c>
      <c r="E23" s="1011">
        <v>4</v>
      </c>
      <c r="F23" s="1011">
        <v>1929.2419463419999</v>
      </c>
    </row>
    <row r="24" spans="1:6" x14ac:dyDescent="0.25">
      <c r="A24" s="1011" t="s">
        <v>1380</v>
      </c>
      <c r="B24" s="1011" t="s">
        <v>1381</v>
      </c>
      <c r="C24" s="1011" t="s">
        <v>1126</v>
      </c>
      <c r="D24" s="1011">
        <v>2842.2690841240001</v>
      </c>
      <c r="E24" s="1011">
        <v>1</v>
      </c>
      <c r="F24" s="1011">
        <v>2842.2690841240001</v>
      </c>
    </row>
    <row r="25" spans="1:6" x14ac:dyDescent="0.25">
      <c r="A25" s="1011" t="s">
        <v>1382</v>
      </c>
      <c r="B25" s="1011" t="s">
        <v>1383</v>
      </c>
      <c r="C25" s="1011" t="s">
        <v>1126</v>
      </c>
      <c r="D25" s="1011">
        <v>75835.706460375004</v>
      </c>
      <c r="E25" s="1011">
        <v>59</v>
      </c>
      <c r="F25" s="1011">
        <v>1285.3509569559999</v>
      </c>
    </row>
    <row r="26" spans="1:6" x14ac:dyDescent="0.25">
      <c r="A26" s="1011" t="s">
        <v>1384</v>
      </c>
      <c r="B26" s="1011" t="s">
        <v>1385</v>
      </c>
      <c r="C26" s="1011" t="s">
        <v>1126</v>
      </c>
      <c r="D26" s="1011">
        <v>5687.1766928930001</v>
      </c>
      <c r="E26" s="1011">
        <v>5</v>
      </c>
      <c r="F26" s="1011">
        <v>1137.435338579</v>
      </c>
    </row>
    <row r="27" spans="1:6" x14ac:dyDescent="0.25">
      <c r="A27" s="1011" t="s">
        <v>1386</v>
      </c>
      <c r="B27" s="1011" t="s">
        <v>1387</v>
      </c>
      <c r="C27" s="1011" t="s">
        <v>1126</v>
      </c>
      <c r="D27" s="1011">
        <v>21133.648862188002</v>
      </c>
      <c r="E27" s="1011">
        <v>4</v>
      </c>
      <c r="F27" s="1011">
        <v>5283.4122155470004</v>
      </c>
    </row>
    <row r="28" spans="1:6" x14ac:dyDescent="0.25">
      <c r="A28" s="1011" t="s">
        <v>1388</v>
      </c>
      <c r="B28" s="1011" t="s">
        <v>1389</v>
      </c>
      <c r="C28" s="1011" t="s">
        <v>1126</v>
      </c>
      <c r="D28" s="1011">
        <v>4285.5805893340003</v>
      </c>
      <c r="E28" s="1011">
        <v>1</v>
      </c>
      <c r="F28" s="1011">
        <v>4285.5805893340003</v>
      </c>
    </row>
    <row r="29" spans="1:6" x14ac:dyDescent="0.25">
      <c r="A29" s="1011" t="s">
        <v>1390</v>
      </c>
      <c r="B29" s="1011" t="s">
        <v>1391</v>
      </c>
      <c r="C29" s="1011" t="s">
        <v>1126</v>
      </c>
      <c r="D29" s="1011">
        <v>4054.6274500139998</v>
      </c>
      <c r="E29" s="1011">
        <v>1</v>
      </c>
      <c r="F29" s="1011">
        <v>4054.6274500139998</v>
      </c>
    </row>
    <row r="30" spans="1:6" x14ac:dyDescent="0.25">
      <c r="A30" s="1011" t="s">
        <v>1392</v>
      </c>
      <c r="B30" s="1011" t="s">
        <v>1393</v>
      </c>
      <c r="C30" s="1011" t="s">
        <v>1126</v>
      </c>
      <c r="D30" s="1011">
        <v>5035.3008715369997</v>
      </c>
      <c r="E30" s="1011">
        <v>1</v>
      </c>
      <c r="F30" s="1011">
        <v>5035.3008715369997</v>
      </c>
    </row>
    <row r="31" spans="1:6" x14ac:dyDescent="0.25">
      <c r="A31" s="1011" t="s">
        <v>1394</v>
      </c>
      <c r="B31" s="1011" t="s">
        <v>1395</v>
      </c>
      <c r="C31" s="1011" t="s">
        <v>1126</v>
      </c>
      <c r="D31" s="1011">
        <v>10544.591800071001</v>
      </c>
      <c r="E31" s="1011">
        <v>20</v>
      </c>
      <c r="F31" s="1011">
        <v>527.22959000399999</v>
      </c>
    </row>
    <row r="32" spans="1:6" x14ac:dyDescent="0.25">
      <c r="A32" s="1011" t="s">
        <v>1396</v>
      </c>
      <c r="B32" s="1011" t="s">
        <v>1397</v>
      </c>
      <c r="C32" s="1011" t="s">
        <v>1126</v>
      </c>
      <c r="D32" s="1011">
        <v>5558.502158624</v>
      </c>
      <c r="E32" s="1011">
        <v>1</v>
      </c>
      <c r="F32" s="1011">
        <v>5558.502158624</v>
      </c>
    </row>
    <row r="33" spans="1:6" x14ac:dyDescent="0.25">
      <c r="A33" s="1011" t="s">
        <v>1398</v>
      </c>
      <c r="B33" s="1011" t="s">
        <v>1399</v>
      </c>
      <c r="C33" s="1011" t="s">
        <v>1126</v>
      </c>
      <c r="D33" s="1011">
        <v>2173.4843194260002</v>
      </c>
      <c r="E33" s="1011">
        <v>1</v>
      </c>
      <c r="F33" s="1011">
        <v>2173.4843194260002</v>
      </c>
    </row>
    <row r="34" spans="1:6" x14ac:dyDescent="0.25">
      <c r="A34" s="1011" t="s">
        <v>1400</v>
      </c>
      <c r="B34" s="1011" t="s">
        <v>1401</v>
      </c>
      <c r="C34" s="1011" t="s">
        <v>1126</v>
      </c>
      <c r="D34" s="1011">
        <v>19328.440683083001</v>
      </c>
      <c r="E34" s="1011">
        <v>4</v>
      </c>
      <c r="F34" s="1011">
        <v>4832.1101707710004</v>
      </c>
    </row>
    <row r="35" spans="1:6" x14ac:dyDescent="0.25">
      <c r="A35" s="1011" t="s">
        <v>1402</v>
      </c>
      <c r="B35" s="1011" t="s">
        <v>1403</v>
      </c>
      <c r="C35" s="1011" t="s">
        <v>1126</v>
      </c>
      <c r="D35" s="1011">
        <v>3395.0154888470001</v>
      </c>
      <c r="E35" s="1011">
        <v>1</v>
      </c>
      <c r="F35" s="1011">
        <v>3395.0154888470001</v>
      </c>
    </row>
    <row r="36" spans="1:6" x14ac:dyDescent="0.25">
      <c r="A36" s="1011" t="s">
        <v>1404</v>
      </c>
      <c r="B36" s="1011" t="s">
        <v>1405</v>
      </c>
      <c r="C36" s="1011" t="s">
        <v>1126</v>
      </c>
      <c r="D36" s="1011">
        <v>3188.2302878700002</v>
      </c>
      <c r="E36" s="1011">
        <v>1</v>
      </c>
      <c r="F36" s="1011">
        <v>3188.2302878700002</v>
      </c>
    </row>
    <row r="37" spans="1:6" x14ac:dyDescent="0.25">
      <c r="A37" s="1011" t="s">
        <v>1406</v>
      </c>
      <c r="B37" s="1011" t="s">
        <v>1407</v>
      </c>
      <c r="C37" s="1011" t="s">
        <v>1126</v>
      </c>
      <c r="D37" s="1011">
        <v>36832.044474693997</v>
      </c>
      <c r="E37" s="1011">
        <v>10</v>
      </c>
      <c r="F37" s="1011">
        <v>3683.2044474690001</v>
      </c>
    </row>
    <row r="38" spans="1:6" x14ac:dyDescent="0.25">
      <c r="A38" s="1011" t="s">
        <v>1408</v>
      </c>
      <c r="B38" s="1011" t="s">
        <v>1409</v>
      </c>
      <c r="C38" s="1011" t="s">
        <v>1126</v>
      </c>
      <c r="D38" s="1011">
        <v>49994.206533980003</v>
      </c>
      <c r="E38" s="1011">
        <v>7</v>
      </c>
      <c r="F38" s="1011">
        <v>7142.0295048540002</v>
      </c>
    </row>
    <row r="39" spans="1:6" x14ac:dyDescent="0.25">
      <c r="A39" s="1011" t="s">
        <v>1410</v>
      </c>
      <c r="B39" s="1011" t="s">
        <v>1411</v>
      </c>
      <c r="C39" s="1011" t="s">
        <v>1126</v>
      </c>
      <c r="D39" s="1011">
        <v>40787.585120131</v>
      </c>
      <c r="E39" s="1011">
        <v>5</v>
      </c>
      <c r="F39" s="1011">
        <v>8157.5170240260004</v>
      </c>
    </row>
    <row r="40" spans="1:6" x14ac:dyDescent="0.25">
      <c r="A40" s="1011" t="s">
        <v>1412</v>
      </c>
      <c r="B40" s="1011" t="s">
        <v>1413</v>
      </c>
      <c r="C40" s="1011" t="s">
        <v>1126</v>
      </c>
      <c r="D40" s="1011">
        <v>41635.451483932004</v>
      </c>
      <c r="E40" s="1011">
        <v>26</v>
      </c>
      <c r="F40" s="1011">
        <v>1601.363518613</v>
      </c>
    </row>
    <row r="41" spans="1:6" x14ac:dyDescent="0.25">
      <c r="A41" s="1011" t="s">
        <v>1414</v>
      </c>
      <c r="B41" s="1011" t="s">
        <v>1415</v>
      </c>
      <c r="C41" s="1011" t="s">
        <v>1126</v>
      </c>
      <c r="D41" s="1011">
        <v>11274.869656781</v>
      </c>
      <c r="E41" s="1011">
        <v>3</v>
      </c>
      <c r="F41" s="1011">
        <v>3758.2898855940002</v>
      </c>
    </row>
    <row r="42" spans="1:6" x14ac:dyDescent="0.25">
      <c r="A42" s="1011" t="s">
        <v>1416</v>
      </c>
      <c r="B42" s="1011" t="s">
        <v>1417</v>
      </c>
      <c r="C42" s="1011" t="s">
        <v>1126</v>
      </c>
      <c r="D42" s="1011">
        <v>4561.6954127999998</v>
      </c>
      <c r="E42" s="1011">
        <v>2</v>
      </c>
      <c r="F42" s="1011">
        <v>2280.8477063999999</v>
      </c>
    </row>
    <row r="43" spans="1:6" x14ac:dyDescent="0.25">
      <c r="A43" s="1011" t="s">
        <v>1418</v>
      </c>
      <c r="B43" s="1011" t="s">
        <v>1419</v>
      </c>
      <c r="C43" s="1011" t="s">
        <v>1126</v>
      </c>
      <c r="D43" s="1011">
        <v>15555.817281497</v>
      </c>
      <c r="E43" s="1011">
        <v>4</v>
      </c>
      <c r="F43" s="1011">
        <v>3888.954320374</v>
      </c>
    </row>
    <row r="44" spans="1:6" x14ac:dyDescent="0.25">
      <c r="A44" s="1011" t="s">
        <v>1420</v>
      </c>
      <c r="B44" s="1011" t="s">
        <v>1421</v>
      </c>
      <c r="C44" s="1011" t="s">
        <v>1126</v>
      </c>
      <c r="D44" s="1011">
        <v>150475.488156618</v>
      </c>
      <c r="E44" s="1011">
        <v>48</v>
      </c>
      <c r="F44" s="1011">
        <v>3134.906003263</v>
      </c>
    </row>
    <row r="45" spans="1:6" x14ac:dyDescent="0.25">
      <c r="A45" s="1011" t="s">
        <v>1422</v>
      </c>
      <c r="B45" s="1011" t="s">
        <v>1423</v>
      </c>
      <c r="C45" s="1011" t="s">
        <v>1126</v>
      </c>
      <c r="D45" s="1011">
        <v>15205.972384752</v>
      </c>
      <c r="E45" s="1011">
        <v>4</v>
      </c>
      <c r="F45" s="1011">
        <v>3801.493096188</v>
      </c>
    </row>
    <row r="46" spans="1:6" x14ac:dyDescent="0.25">
      <c r="A46" s="1011" t="s">
        <v>1424</v>
      </c>
      <c r="B46" s="1011" t="s">
        <v>1425</v>
      </c>
      <c r="C46" s="1011" t="s">
        <v>1126</v>
      </c>
      <c r="D46" s="1011">
        <v>3201.04696143</v>
      </c>
      <c r="E46" s="1011">
        <v>1</v>
      </c>
      <c r="F46" s="1011">
        <v>3201.04696143</v>
      </c>
    </row>
    <row r="47" spans="1:6" x14ac:dyDescent="0.25">
      <c r="A47" s="1011" t="s">
        <v>1426</v>
      </c>
      <c r="B47" s="1011" t="s">
        <v>1427</v>
      </c>
      <c r="C47" s="1011" t="s">
        <v>1126</v>
      </c>
      <c r="D47" s="1011">
        <v>1752.5041352149999</v>
      </c>
      <c r="E47" s="1011">
        <v>1</v>
      </c>
      <c r="F47" s="1011">
        <v>1752.5041352149999</v>
      </c>
    </row>
    <row r="48" spans="1:6" x14ac:dyDescent="0.25">
      <c r="A48" s="1011" t="s">
        <v>1428</v>
      </c>
      <c r="B48" s="1011" t="s">
        <v>1429</v>
      </c>
      <c r="C48" s="1011" t="s">
        <v>1126</v>
      </c>
      <c r="D48" s="1011">
        <v>6733.7066131989995</v>
      </c>
      <c r="E48" s="1011">
        <v>1</v>
      </c>
      <c r="F48" s="1011">
        <v>6733.7066131989995</v>
      </c>
    </row>
    <row r="49" spans="1:6" x14ac:dyDescent="0.25">
      <c r="A49" s="1011" t="s">
        <v>1430</v>
      </c>
      <c r="B49" s="1011" t="s">
        <v>1431</v>
      </c>
      <c r="C49" s="1011" t="s">
        <v>1126</v>
      </c>
      <c r="D49" s="1011">
        <v>7801.1506524839997</v>
      </c>
      <c r="E49" s="1011">
        <v>1</v>
      </c>
      <c r="F49" s="1011">
        <v>7801.1506524839997</v>
      </c>
    </row>
    <row r="50" spans="1:6" x14ac:dyDescent="0.25">
      <c r="A50" s="1011" t="s">
        <v>1432</v>
      </c>
      <c r="B50" s="1011" t="s">
        <v>1433</v>
      </c>
      <c r="C50" s="1011" t="s">
        <v>1126</v>
      </c>
      <c r="D50" s="1011">
        <v>10577.849330997</v>
      </c>
      <c r="E50" s="1011">
        <v>2</v>
      </c>
      <c r="F50" s="1011">
        <v>5288.9246654990002</v>
      </c>
    </row>
    <row r="51" spans="1:6" x14ac:dyDescent="0.25">
      <c r="A51" s="1011" t="s">
        <v>1434</v>
      </c>
      <c r="B51" s="1011" t="s">
        <v>1435</v>
      </c>
      <c r="C51" s="1011" t="s">
        <v>1126</v>
      </c>
      <c r="D51" s="1011">
        <v>2440.9541914430001</v>
      </c>
      <c r="E51" s="1011">
        <v>1</v>
      </c>
      <c r="F51" s="1011">
        <v>2440.9541914430001</v>
      </c>
    </row>
    <row r="52" spans="1:6" x14ac:dyDescent="0.25">
      <c r="A52" s="1011" t="s">
        <v>1436</v>
      </c>
      <c r="B52" s="1011" t="s">
        <v>1437</v>
      </c>
      <c r="C52" s="1011" t="s">
        <v>1126</v>
      </c>
      <c r="D52" s="1011">
        <v>13045.453030225</v>
      </c>
      <c r="E52" s="1011">
        <v>3</v>
      </c>
      <c r="F52" s="1011">
        <v>4348.4843434080003</v>
      </c>
    </row>
    <row r="53" spans="1:6" x14ac:dyDescent="0.25">
      <c r="A53" s="1011" t="s">
        <v>1438</v>
      </c>
      <c r="B53" s="1011" t="s">
        <v>1439</v>
      </c>
      <c r="C53" s="1011" t="s">
        <v>1126</v>
      </c>
      <c r="D53" s="1011">
        <v>15010.722544902001</v>
      </c>
      <c r="E53" s="1011">
        <v>3</v>
      </c>
      <c r="F53" s="1011">
        <v>5003.5741816339996</v>
      </c>
    </row>
    <row r="54" spans="1:6" x14ac:dyDescent="0.25">
      <c r="A54" s="1011" t="s">
        <v>1440</v>
      </c>
      <c r="B54" s="1011" t="s">
        <v>1441</v>
      </c>
      <c r="C54" s="1011" t="s">
        <v>1126</v>
      </c>
      <c r="D54" s="1011">
        <v>14317.946992095</v>
      </c>
      <c r="E54" s="1011">
        <v>3</v>
      </c>
      <c r="F54" s="1011">
        <v>4772.6489973649996</v>
      </c>
    </row>
    <row r="55" spans="1:6" x14ac:dyDescent="0.25">
      <c r="A55" s="1011" t="s">
        <v>1442</v>
      </c>
      <c r="B55" s="1011" t="s">
        <v>1443</v>
      </c>
      <c r="C55" s="1011" t="s">
        <v>1126</v>
      </c>
      <c r="D55" s="1011">
        <v>31971.098072003999</v>
      </c>
      <c r="E55" s="1011">
        <v>10</v>
      </c>
      <c r="F55" s="1011">
        <v>3197.1098072</v>
      </c>
    </row>
    <row r="56" spans="1:6" x14ac:dyDescent="0.25">
      <c r="A56" s="1011" t="s">
        <v>1444</v>
      </c>
      <c r="B56" s="1011" t="s">
        <v>1445</v>
      </c>
      <c r="C56" s="1011" t="s">
        <v>1126</v>
      </c>
      <c r="D56" s="1011">
        <v>13619.212194895001</v>
      </c>
      <c r="E56" s="1011">
        <v>37</v>
      </c>
      <c r="F56" s="1011">
        <v>368.08681607800003</v>
      </c>
    </row>
    <row r="57" spans="1:6" x14ac:dyDescent="0.25">
      <c r="A57" s="1011" t="s">
        <v>1446</v>
      </c>
      <c r="B57" s="1011" t="s">
        <v>1447</v>
      </c>
      <c r="C57" s="1011" t="s">
        <v>1126</v>
      </c>
      <c r="D57" s="1011">
        <v>2738.079075228</v>
      </c>
      <c r="E57" s="1011">
        <v>3</v>
      </c>
      <c r="F57" s="1011">
        <v>912.69302507600003</v>
      </c>
    </row>
    <row r="58" spans="1:6" x14ac:dyDescent="0.25">
      <c r="A58" s="1011" t="s">
        <v>1448</v>
      </c>
      <c r="B58" s="1011" t="s">
        <v>1449</v>
      </c>
      <c r="C58" s="1011" t="s">
        <v>1126</v>
      </c>
      <c r="D58" s="1011">
        <v>20289.087182781001</v>
      </c>
      <c r="E58" s="1011">
        <v>42</v>
      </c>
      <c r="F58" s="1011">
        <v>483.07350435199999</v>
      </c>
    </row>
    <row r="59" spans="1:6" x14ac:dyDescent="0.25">
      <c r="A59" s="1011" t="s">
        <v>1450</v>
      </c>
      <c r="B59" s="1011" t="s">
        <v>1451</v>
      </c>
      <c r="C59" s="1011" t="s">
        <v>1126</v>
      </c>
      <c r="D59" s="1011">
        <v>3586.2960980719999</v>
      </c>
      <c r="E59" s="1011">
        <v>1</v>
      </c>
      <c r="F59" s="1011">
        <v>3586.2960980719999</v>
      </c>
    </row>
    <row r="60" spans="1:6" x14ac:dyDescent="0.25">
      <c r="A60" s="1011" t="s">
        <v>1452</v>
      </c>
      <c r="B60" s="1011" t="s">
        <v>1453</v>
      </c>
      <c r="C60" s="1011" t="s">
        <v>1126</v>
      </c>
      <c r="D60" s="1011">
        <v>4224.1649980339998</v>
      </c>
      <c r="E60" s="1011">
        <v>1</v>
      </c>
      <c r="F60" s="1011">
        <v>4224.1649980339998</v>
      </c>
    </row>
    <row r="61" spans="1:6" x14ac:dyDescent="0.25">
      <c r="A61" s="1011" t="s">
        <v>1454</v>
      </c>
      <c r="B61" s="1011" t="s">
        <v>1455</v>
      </c>
      <c r="C61" s="1011" t="s">
        <v>1126</v>
      </c>
      <c r="D61" s="1011">
        <v>15965.401814942001</v>
      </c>
      <c r="E61" s="1011">
        <v>4</v>
      </c>
      <c r="F61" s="1011">
        <v>3991.350453736</v>
      </c>
    </row>
    <row r="62" spans="1:6" x14ac:dyDescent="0.25">
      <c r="A62" s="1011" t="s">
        <v>1456</v>
      </c>
      <c r="B62" s="1011" t="s">
        <v>1457</v>
      </c>
      <c r="C62" s="1011" t="s">
        <v>1126</v>
      </c>
      <c r="D62" s="1011">
        <v>6390.8002097709996</v>
      </c>
      <c r="E62" s="1011">
        <v>1</v>
      </c>
      <c r="F62" s="1011">
        <v>6390.8002097709996</v>
      </c>
    </row>
    <row r="63" spans="1:6" x14ac:dyDescent="0.25">
      <c r="A63" s="1011" t="s">
        <v>1458</v>
      </c>
      <c r="B63" s="1011" t="s">
        <v>1459</v>
      </c>
      <c r="C63" s="1011" t="s">
        <v>1126</v>
      </c>
      <c r="D63" s="1011">
        <v>4234.0348028199996</v>
      </c>
      <c r="E63" s="1011">
        <v>1</v>
      </c>
      <c r="F63" s="1011">
        <v>4234.0348028199996</v>
      </c>
    </row>
    <row r="64" spans="1:6" x14ac:dyDescent="0.25">
      <c r="A64" s="1011" t="s">
        <v>1460</v>
      </c>
      <c r="B64" s="1011" t="s">
        <v>1461</v>
      </c>
      <c r="C64" s="1011" t="s">
        <v>1126</v>
      </c>
      <c r="D64" s="1011">
        <v>1139.7755322200001</v>
      </c>
      <c r="E64" s="1011">
        <v>4</v>
      </c>
      <c r="F64" s="1011">
        <v>284.94388305500001</v>
      </c>
    </row>
    <row r="65" spans="1:6" x14ac:dyDescent="0.25">
      <c r="A65" s="1011" t="s">
        <v>1462</v>
      </c>
      <c r="B65" s="1011" t="s">
        <v>1463</v>
      </c>
      <c r="C65" s="1011" t="s">
        <v>1126</v>
      </c>
      <c r="D65" s="1011">
        <v>5151.0697095859996</v>
      </c>
      <c r="E65" s="1011">
        <v>3</v>
      </c>
      <c r="F65" s="1011">
        <v>1717.0232365290001</v>
      </c>
    </row>
    <row r="66" spans="1:6" x14ac:dyDescent="0.25">
      <c r="A66" s="1011" t="s">
        <v>1464</v>
      </c>
      <c r="B66" s="1011" t="s">
        <v>1465</v>
      </c>
      <c r="C66" s="1011" t="s">
        <v>1126</v>
      </c>
      <c r="D66" s="1011">
        <v>9046.5043713150008</v>
      </c>
      <c r="E66" s="1011">
        <v>1</v>
      </c>
      <c r="F66" s="1011">
        <v>9046.5043713150008</v>
      </c>
    </row>
    <row r="67" spans="1:6" x14ac:dyDescent="0.25">
      <c r="A67" s="1011" t="s">
        <v>1466</v>
      </c>
      <c r="B67" s="1011" t="s">
        <v>1467</v>
      </c>
      <c r="C67" s="1011" t="s">
        <v>1126</v>
      </c>
      <c r="D67" s="1011">
        <v>10011.869713325001</v>
      </c>
      <c r="E67" s="1011">
        <v>2</v>
      </c>
      <c r="F67" s="1011">
        <v>5005.9348566620001</v>
      </c>
    </row>
    <row r="68" spans="1:6" x14ac:dyDescent="0.25">
      <c r="A68" s="1011" t="s">
        <v>1468</v>
      </c>
      <c r="B68" s="1011" t="s">
        <v>1469</v>
      </c>
      <c r="C68" s="1011" t="s">
        <v>1126</v>
      </c>
      <c r="D68" s="1011">
        <v>6668.3167135009999</v>
      </c>
      <c r="E68" s="1011">
        <v>3</v>
      </c>
      <c r="F68" s="1011">
        <v>2222.772237834</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6"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6"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6"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411CCFB4-29D5-45EE-BC05-82581979E8B8}"/>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vt:i4>
      </vt:variant>
    </vt:vector>
  </HeadingPairs>
  <TitlesOfParts>
    <vt:vector size="42"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'HOS_Modellable Customers'!ExternalData_2</vt:lpstr>
      <vt:lpstr>'Modellable Customers'!ExternalData_2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2021-07-02T19:25:27Z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